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生活\桌面\"/>
    </mc:Choice>
  </mc:AlternateContent>
  <bookViews>
    <workbookView xWindow="-120" yWindow="-120" windowWidth="29040" windowHeight="15840"/>
  </bookViews>
  <sheets>
    <sheet name="中国近10年各项产量贝叶斯预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  <c r="M18" i="1"/>
  <c r="N17" i="1"/>
  <c r="M17" i="1"/>
  <c r="N16" i="1"/>
  <c r="M16" i="1"/>
  <c r="L18" i="1" l="1"/>
  <c r="L17" i="1"/>
  <c r="K18" i="1"/>
  <c r="J18" i="1"/>
  <c r="I18" i="1"/>
  <c r="H18" i="1"/>
  <c r="G18" i="1"/>
  <c r="F18" i="1"/>
  <c r="E18" i="1"/>
  <c r="D18" i="1"/>
  <c r="C18" i="1"/>
  <c r="B18" i="1"/>
  <c r="L16" i="1"/>
  <c r="K16" i="1"/>
  <c r="K17" i="1"/>
  <c r="B17" i="1" l="1"/>
  <c r="C17" i="1"/>
  <c r="D17" i="1"/>
  <c r="E17" i="1"/>
  <c r="F17" i="1"/>
  <c r="G17" i="1"/>
  <c r="H17" i="1"/>
  <c r="I17" i="1"/>
  <c r="J17" i="1"/>
  <c r="B16" i="1"/>
  <c r="C16" i="1"/>
  <c r="D16" i="1"/>
  <c r="E16" i="1"/>
  <c r="F16" i="1"/>
  <c r="G16" i="1"/>
  <c r="H16" i="1"/>
  <c r="I16" i="1"/>
  <c r="J16" i="1"/>
</calcChain>
</file>

<file path=xl/sharedStrings.xml><?xml version="1.0" encoding="utf-8"?>
<sst xmlns="http://schemas.openxmlformats.org/spreadsheetml/2006/main" count="35" uniqueCount="35">
  <si>
    <t>年份</t>
  </si>
  <si>
    <t>湖库投饵</t>
  </si>
  <si>
    <t>近海投饵</t>
  </si>
  <si>
    <t>工厂化</t>
  </si>
  <si>
    <t>远海投饵</t>
  </si>
  <si>
    <t>池塘投饵</t>
  </si>
  <si>
    <t>池塘非饵</t>
  </si>
  <si>
    <t>稻田养鱼</t>
  </si>
  <si>
    <t>库湖非饵</t>
  </si>
  <si>
    <t>近海非饵</t>
  </si>
  <si>
    <t>a</t>
    <phoneticPr fontId="1" type="noConversion"/>
  </si>
  <si>
    <t>b</t>
    <phoneticPr fontId="1" type="noConversion"/>
  </si>
  <si>
    <t>a置信区间</t>
    <phoneticPr fontId="1" type="noConversion"/>
  </si>
  <si>
    <t>b置信区间</t>
    <phoneticPr fontId="1" type="noConversion"/>
  </si>
  <si>
    <t>海水养殖(无大藻)</t>
    <phoneticPr fontId="1" type="noConversion"/>
  </si>
  <si>
    <t>FAL</t>
  </si>
  <si>
    <t>FEN</t>
  </si>
  <si>
    <t>RAS</t>
  </si>
  <si>
    <t>FOA</t>
  </si>
  <si>
    <t>FAP</t>
  </si>
  <si>
    <t>nFAP</t>
  </si>
  <si>
    <t>PFA</t>
  </si>
  <si>
    <t>nFAL</t>
  </si>
  <si>
    <t>nFEN</t>
  </si>
  <si>
    <t>pv_a</t>
  </si>
  <si>
    <t>pv_b</t>
  </si>
  <si>
    <t>备注：此绿色项为模型参数检验指标，越接近于1越好</t>
    <phoneticPr fontId="1" type="noConversion"/>
  </si>
  <si>
    <t>备注：未来产量有的为负值，表明按如今的趋势，在此时间点前产量已经降为零。</t>
    <phoneticPr fontId="1" type="noConversion"/>
  </si>
  <si>
    <t>内陆养殖</t>
    <phoneticPr fontId="1" type="noConversion"/>
  </si>
  <si>
    <t>淡水池塘投饵=淡水池塘80%</t>
    <phoneticPr fontId="1" type="noConversion"/>
  </si>
  <si>
    <t>淡水池塘非饵=淡水池塘20%</t>
    <phoneticPr fontId="1" type="noConversion"/>
  </si>
  <si>
    <t>F_FAP</t>
  </si>
  <si>
    <t>F_nFAP</t>
  </si>
  <si>
    <t>Mariculture</t>
    <phoneticPr fontId="1" type="noConversion"/>
  </si>
  <si>
    <t>Inland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</si>
</sst>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10" fontId="0" fillId="3" borderId="0" xfId="0" applyNumberFormat="1" applyFill="1"/>
    <xf numFmtId="0" fontId="0" fillId="3" borderId="0" xfId="0" applyFill="1"/>
    <xf numFmtId="9" fontId="0" fillId="3" borderId="0" xfId="0" applyNumberFormat="1" applyFill="1"/>
    <xf numFmtId="10" fontId="0" fillId="4" borderId="0" xfId="0" applyNumberFormat="1" applyFill="1"/>
    <xf numFmtId="0" fontId="0" fillId="4" borderId="0" xfId="0" applyFill="1"/>
    <xf numFmtId="9" fontId="0" fillId="4" borderId="0" xfId="0" applyNumberFormat="1" applyFill="1"/>
    <xf numFmtId="0" fontId="0" fillId="5" borderId="0" xfId="0" applyFill="1"/>
    <xf numFmtId="0" fontId="0" fillId="0" borderId="0" xfId="0" applyAlignment="1">
      <alignment vertical="center"/>
    </xf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workbookViewId="0">
      <selection activeCell="M14" sqref="M14"/>
    </sheetView>
  </sheetViews>
  <sheetFormatPr defaultRowHeight="13.8" x14ac:dyDescent="0.25"/>
  <cols>
    <col min="13" max="13" width="30.44140625" style="13" customWidth="1"/>
    <col min="14" max="14" width="24.5546875" style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28</v>
      </c>
      <c r="M1" s="13" t="s">
        <v>29</v>
      </c>
      <c r="N1" s="13" t="s">
        <v>30</v>
      </c>
    </row>
    <row r="2" spans="1:14" x14ac:dyDescent="0.25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33</v>
      </c>
      <c r="L2" t="s">
        <v>34</v>
      </c>
      <c r="M2" s="13" t="s">
        <v>31</v>
      </c>
      <c r="N2" s="13" t="s">
        <v>32</v>
      </c>
    </row>
    <row r="3" spans="1:14" x14ac:dyDescent="0.25">
      <c r="A3">
        <v>2012</v>
      </c>
      <c r="B3">
        <v>1.7689569999999999</v>
      </c>
      <c r="C3">
        <v>0.39351000000000003</v>
      </c>
      <c r="D3">
        <v>0.36283299999999996</v>
      </c>
      <c r="E3">
        <v>7.0973999999999995E-2</v>
      </c>
      <c r="F3">
        <v>16.306782800000001</v>
      </c>
      <c r="G3">
        <v>4.4844781999999981</v>
      </c>
      <c r="H3">
        <v>1.331378</v>
      </c>
      <c r="I3">
        <v>3.18371</v>
      </c>
      <c r="J3">
        <v>8.1483370000000015</v>
      </c>
      <c r="K3">
        <v>14.673420999999999</v>
      </c>
      <c r="L3">
        <v>26.445447999999999</v>
      </c>
      <c r="M3" s="13">
        <v>14.931392799999999</v>
      </c>
      <c r="N3" s="13">
        <v>3.7328481999999998</v>
      </c>
    </row>
    <row r="4" spans="1:14" x14ac:dyDescent="0.25">
      <c r="A4">
        <v>2013</v>
      </c>
      <c r="B4">
        <v>1.8836349999999999</v>
      </c>
      <c r="C4">
        <v>0.40000999999999998</v>
      </c>
      <c r="D4">
        <v>0.385542</v>
      </c>
      <c r="E4">
        <v>7.3885000000000006E-2</v>
      </c>
      <c r="F4">
        <v>17.3782736</v>
      </c>
      <c r="G4">
        <v>4.7904014000000004</v>
      </c>
      <c r="H4">
        <v>1.4504589999999999</v>
      </c>
      <c r="I4">
        <v>3.2871990000000006</v>
      </c>
      <c r="J4">
        <v>9.0190629999999992</v>
      </c>
      <c r="K4">
        <v>15.535648999999999</v>
      </c>
      <c r="L4">
        <v>28.024349000000001</v>
      </c>
      <c r="M4" s="13">
        <v>15.9099696</v>
      </c>
      <c r="N4" s="13">
        <v>3.9774924</v>
      </c>
    </row>
    <row r="5" spans="1:14" x14ac:dyDescent="0.25">
      <c r="A5">
        <v>2014</v>
      </c>
      <c r="B5">
        <v>1.8790629999999999</v>
      </c>
      <c r="C5">
        <v>0.43737300000000001</v>
      </c>
      <c r="D5">
        <v>0.36775800000000003</v>
      </c>
      <c r="E5">
        <v>8.8736999999999996E-2</v>
      </c>
      <c r="F5">
        <v>18.269641200000002</v>
      </c>
      <c r="G5">
        <v>4.9313127999999971</v>
      </c>
      <c r="H5">
        <v>1.4567190000000001</v>
      </c>
      <c r="I5">
        <v>3.5381480000000001</v>
      </c>
      <c r="J5">
        <v>9.2705410000000015</v>
      </c>
      <c r="K5">
        <v>16.121905000000002</v>
      </c>
      <c r="L5">
        <v>29.357590999999999</v>
      </c>
      <c r="M5" s="13">
        <v>16.722075199999999</v>
      </c>
      <c r="N5" s="13">
        <v>4.1805187999999998</v>
      </c>
    </row>
    <row r="6" spans="1:14" x14ac:dyDescent="0.25">
      <c r="A6">
        <v>2015</v>
      </c>
      <c r="B6">
        <v>1.8608100000000001</v>
      </c>
      <c r="C6">
        <v>0.46662399999999998</v>
      </c>
      <c r="D6">
        <v>0.394119</v>
      </c>
      <c r="E6">
        <v>0.10573100000000001</v>
      </c>
      <c r="F6">
        <v>19.122966999999999</v>
      </c>
      <c r="G6">
        <v>5.1846999999999994</v>
      </c>
      <c r="H6">
        <v>1.558187</v>
      </c>
      <c r="I6">
        <v>3.6710380000000002</v>
      </c>
      <c r="J6">
        <v>9.720816000000001</v>
      </c>
      <c r="K6">
        <v>16.667124000000001</v>
      </c>
      <c r="L6">
        <v>30.622734999999999</v>
      </c>
      <c r="M6" s="13">
        <v>17.565508000000001</v>
      </c>
      <c r="N6" s="13">
        <v>4.3913770000000003</v>
      </c>
    </row>
    <row r="7" spans="1:14" x14ac:dyDescent="0.25">
      <c r="A7">
        <v>2016</v>
      </c>
      <c r="B7">
        <v>1.6505289999999999</v>
      </c>
      <c r="C7">
        <v>0.48516900000000002</v>
      </c>
      <c r="D7">
        <v>0.38074999999999998</v>
      </c>
      <c r="E7">
        <v>0.11708499999999999</v>
      </c>
      <c r="F7">
        <v>18.4139634</v>
      </c>
      <c r="G7">
        <v>4.8471005999999974</v>
      </c>
      <c r="H7">
        <v>1.6283609999999999</v>
      </c>
      <c r="I7">
        <v>3.1564010000000007</v>
      </c>
      <c r="J7">
        <v>10.022867999999999</v>
      </c>
      <c r="K7">
        <v>17.046019000000001</v>
      </c>
      <c r="L7">
        <v>28.778880999999998</v>
      </c>
      <c r="M7" s="13">
        <v>16.771894400000001</v>
      </c>
      <c r="N7" s="13">
        <v>4.1929736000000002</v>
      </c>
    </row>
    <row r="8" spans="1:14" x14ac:dyDescent="0.25">
      <c r="A8">
        <v>2017</v>
      </c>
      <c r="B8">
        <v>1.1174029999999999</v>
      </c>
      <c r="C8">
        <v>0.56733299999999998</v>
      </c>
      <c r="D8">
        <v>0.42953399999999997</v>
      </c>
      <c r="E8">
        <v>0.13503200000000001</v>
      </c>
      <c r="F8">
        <v>18.765532799999999</v>
      </c>
      <c r="G8">
        <v>5.1218181999999999</v>
      </c>
      <c r="H8">
        <v>1.9475070000000001</v>
      </c>
      <c r="I8">
        <v>3.43181</v>
      </c>
      <c r="J8">
        <v>10.299436999999999</v>
      </c>
      <c r="K8">
        <v>17.779135</v>
      </c>
      <c r="L8">
        <v>29.05293</v>
      </c>
      <c r="M8" s="13">
        <v>16.977752800000001</v>
      </c>
      <c r="N8" s="13">
        <v>4.2444382000000003</v>
      </c>
    </row>
    <row r="9" spans="1:14" x14ac:dyDescent="0.25">
      <c r="A9">
        <v>2018</v>
      </c>
      <c r="B9">
        <v>0.67509700000000006</v>
      </c>
      <c r="C9">
        <v>0.59456200000000003</v>
      </c>
      <c r="D9">
        <v>0.468829</v>
      </c>
      <c r="E9">
        <v>0.153978</v>
      </c>
      <c r="F9">
        <v>19.557241600000001</v>
      </c>
      <c r="G9">
        <v>5.0189774000000007</v>
      </c>
      <c r="H9">
        <v>2.333269</v>
      </c>
      <c r="I9">
        <v>3.2521129999999996</v>
      </c>
      <c r="J9">
        <v>10.372522</v>
      </c>
      <c r="K9">
        <v>17.968335</v>
      </c>
      <c r="L9">
        <v>29.598383999999999</v>
      </c>
      <c r="M9" s="13">
        <v>17.6877496</v>
      </c>
      <c r="N9" s="13">
        <v>4.4219374</v>
      </c>
    </row>
    <row r="10" spans="1:14" x14ac:dyDescent="0.25">
      <c r="A10">
        <v>2019</v>
      </c>
      <c r="B10">
        <v>0.46871600000000002</v>
      </c>
      <c r="C10">
        <v>0.55031699999999995</v>
      </c>
      <c r="D10">
        <v>0.54227999999999998</v>
      </c>
      <c r="E10">
        <v>0.20519799999999999</v>
      </c>
      <c r="F10">
        <v>19.764433400000001</v>
      </c>
      <c r="G10">
        <v>5.0396046000000005</v>
      </c>
      <c r="H10">
        <v>2.9133300000000002</v>
      </c>
      <c r="I10">
        <v>3.2641100000000001</v>
      </c>
      <c r="J10">
        <v>10.054302999999999</v>
      </c>
      <c r="K10">
        <v>18.114891</v>
      </c>
      <c r="L10">
        <v>30.137440999999999</v>
      </c>
      <c r="M10" s="13">
        <v>17.840434399999999</v>
      </c>
      <c r="N10" s="13">
        <v>4.4601085999999999</v>
      </c>
    </row>
    <row r="11" spans="1:14" x14ac:dyDescent="0.25">
      <c r="A11">
        <v>2020</v>
      </c>
      <c r="B11">
        <v>0.35790899999999998</v>
      </c>
      <c r="C11">
        <v>0.56511199999999995</v>
      </c>
      <c r="D11">
        <v>0.62792800000000004</v>
      </c>
      <c r="E11">
        <v>0.29311999999999999</v>
      </c>
      <c r="F11">
        <v>20.208315800000001</v>
      </c>
      <c r="G11">
        <v>5.1630731999999995</v>
      </c>
      <c r="H11">
        <v>3.2491089999999998</v>
      </c>
      <c r="I11">
        <v>3.302206</v>
      </c>
      <c r="J11">
        <v>10.458924</v>
      </c>
      <c r="K11">
        <v>18.737939999999998</v>
      </c>
      <c r="L11">
        <v>30.888912000000001</v>
      </c>
      <c r="M11" s="13">
        <v>18.238068800000001</v>
      </c>
      <c r="N11" s="13">
        <v>4.5595172000000002</v>
      </c>
    </row>
    <row r="12" spans="1:14" x14ac:dyDescent="0.25">
      <c r="A12">
        <v>2021</v>
      </c>
      <c r="B12">
        <v>0.29935</v>
      </c>
      <c r="C12">
        <v>0.62674399999999997</v>
      </c>
      <c r="D12">
        <v>0.67990799999999996</v>
      </c>
      <c r="E12">
        <v>0.33719300000000002</v>
      </c>
      <c r="F12">
        <v>20.860360400000001</v>
      </c>
      <c r="G12">
        <v>5.4581245999999979</v>
      </c>
      <c r="H12">
        <v>3.556854</v>
      </c>
      <c r="I12">
        <v>3.3227449999999998</v>
      </c>
      <c r="J12">
        <v>10.792795</v>
      </c>
      <c r="K12">
        <v>19.396773</v>
      </c>
      <c r="L12">
        <v>31.832675999999999</v>
      </c>
      <c r="M12" s="13">
        <v>18.8063064</v>
      </c>
      <c r="N12" s="13">
        <v>4.7015766000000001</v>
      </c>
    </row>
    <row r="14" spans="1:14" x14ac:dyDescent="0.25">
      <c r="M14"/>
      <c r="N14"/>
    </row>
    <row r="16" spans="1:14" s="1" customFormat="1" x14ac:dyDescent="0.25">
      <c r="A16" s="1">
        <v>2030</v>
      </c>
      <c r="B16" s="1">
        <f t="shared" ref="B16:J16" si="0">B22*2030+B23</f>
        <v>-1.6643344360574019</v>
      </c>
      <c r="C16" s="1">
        <f t="shared" si="0"/>
        <v>0.85856794917800272</v>
      </c>
      <c r="D16" s="1">
        <f t="shared" si="0"/>
        <v>0.92834884817735031</v>
      </c>
      <c r="E16" s="1">
        <f t="shared" si="0"/>
        <v>0.53953239864127767</v>
      </c>
      <c r="F16" s="1">
        <f t="shared" si="0"/>
        <v>24.57229594251487</v>
      </c>
      <c r="G16" s="1">
        <f t="shared" si="0"/>
        <v>5.9534575006736645</v>
      </c>
      <c r="H16" s="1">
        <f t="shared" si="0"/>
        <v>5.6150023241094686</v>
      </c>
      <c r="I16" s="1">
        <f t="shared" si="0"/>
        <v>3.2560550701125237</v>
      </c>
      <c r="J16" s="1">
        <f t="shared" si="0"/>
        <v>13.070230887132254</v>
      </c>
      <c r="K16" s="1">
        <f>K22*2030+K23</f>
        <v>23.695330729629859</v>
      </c>
      <c r="L16" s="1">
        <f>2030*L22+L23</f>
        <v>40.449464415131615</v>
      </c>
      <c r="M16" s="14">
        <f>2030*M22+M23</f>
        <v>21.827567520000002</v>
      </c>
      <c r="N16" s="14">
        <f>2030*N22+N23</f>
        <v>5.4678264799999852</v>
      </c>
    </row>
    <row r="17" spans="1:14" s="1" customFormat="1" x14ac:dyDescent="0.25">
      <c r="A17" s="1">
        <v>2050</v>
      </c>
      <c r="B17" s="1">
        <f t="shared" ref="B17:J17" si="1">2050*B22+B23</f>
        <v>-5.90224309815369</v>
      </c>
      <c r="C17" s="1">
        <f t="shared" si="1"/>
        <v>1.3770543901374097</v>
      </c>
      <c r="D17" s="1">
        <f t="shared" si="1"/>
        <v>1.6165025578055037</v>
      </c>
      <c r="E17" s="1">
        <f t="shared" si="1"/>
        <v>1.1044842407707947</v>
      </c>
      <c r="F17" s="1">
        <f t="shared" si="1"/>
        <v>33.026788133957552</v>
      </c>
      <c r="G17" s="1">
        <f t="shared" si="1"/>
        <v>7.3599384331367617</v>
      </c>
      <c r="H17" s="1">
        <f t="shared" si="1"/>
        <v>10.758789862655135</v>
      </c>
      <c r="I17" s="1">
        <f t="shared" si="1"/>
        <v>3.1310806613681539</v>
      </c>
      <c r="J17" s="1">
        <f t="shared" si="1"/>
        <v>17.893616583527091</v>
      </c>
      <c r="K17" s="1">
        <f>2050*K22+K23</f>
        <v>33.335475453602385</v>
      </c>
      <c r="L17" s="1">
        <f>2050*L22+L23</f>
        <v>57.243058721908938</v>
      </c>
      <c r="M17" s="14">
        <f>2050*M22+M23</f>
        <v>28.745037799999977</v>
      </c>
      <c r="N17" s="14">
        <f>2050*N22+N23</f>
        <v>7.1958071999999902</v>
      </c>
    </row>
    <row r="18" spans="1:14" s="11" customFormat="1" x14ac:dyDescent="0.25">
      <c r="A18" s="11">
        <v>2060</v>
      </c>
      <c r="B18" s="11">
        <f>2060*B22+B23</f>
        <v>-8.021197429201834</v>
      </c>
      <c r="C18" s="11">
        <f t="shared" ref="C18:K18" si="2">2060*C22+C23</f>
        <v>1.6362976106171132</v>
      </c>
      <c r="D18" s="11">
        <f t="shared" si="2"/>
        <v>1.9605794126195946</v>
      </c>
      <c r="E18" s="11">
        <f t="shared" si="2"/>
        <v>1.3869601618355603</v>
      </c>
      <c r="F18" s="11">
        <f t="shared" si="2"/>
        <v>37.254034229678837</v>
      </c>
      <c r="G18" s="11">
        <f t="shared" si="2"/>
        <v>8.063178899368296</v>
      </c>
      <c r="H18" s="11">
        <f t="shared" si="2"/>
        <v>13.330683631927968</v>
      </c>
      <c r="I18" s="11">
        <f t="shared" si="2"/>
        <v>3.0685934569959681</v>
      </c>
      <c r="J18" s="11">
        <f t="shared" si="2"/>
        <v>20.305309431724538</v>
      </c>
      <c r="K18" s="11">
        <f t="shared" si="2"/>
        <v>38.155547815588648</v>
      </c>
      <c r="L18" s="11">
        <f>2060*L22+L23</f>
        <v>65.639855875297371</v>
      </c>
      <c r="M18" s="19">
        <f>2060*M22+M23</f>
        <v>32.203772940000022</v>
      </c>
      <c r="N18" s="19">
        <f>2060*N22+N23</f>
        <v>8.0597975599999927</v>
      </c>
    </row>
    <row r="19" spans="1:14" s="12" customFormat="1" x14ac:dyDescent="0.25">
      <c r="M19" s="13"/>
      <c r="N19" s="13"/>
    </row>
    <row r="21" spans="1:14" x14ac:dyDescent="0.25">
      <c r="A21" t="s">
        <v>27</v>
      </c>
    </row>
    <row r="22" spans="1:14" s="8" customFormat="1" x14ac:dyDescent="0.25">
      <c r="A22" s="8" t="s">
        <v>10</v>
      </c>
      <c r="B22" s="8">
        <v>-0.21189543310481301</v>
      </c>
      <c r="C22" s="8">
        <v>2.59243220479702E-2</v>
      </c>
      <c r="D22" s="8">
        <v>3.4407685481408101E-2</v>
      </c>
      <c r="E22" s="8">
        <v>2.8247592106476E-2</v>
      </c>
      <c r="F22" s="8">
        <v>0.42272460957213198</v>
      </c>
      <c r="G22" s="8">
        <v>7.0324046623155001E-2</v>
      </c>
      <c r="H22" s="8">
        <v>0.257189376927283</v>
      </c>
      <c r="I22" s="8">
        <v>-6.2487204372185098E-3</v>
      </c>
      <c r="J22" s="8">
        <v>0.24116928481974201</v>
      </c>
      <c r="K22" s="8">
        <v>0.48200723619862801</v>
      </c>
      <c r="L22" s="8">
        <v>0.83967971533885799</v>
      </c>
      <c r="M22" s="15">
        <v>0.34587351399999999</v>
      </c>
      <c r="N22" s="15">
        <v>8.6399035999999999E-2</v>
      </c>
    </row>
    <row r="23" spans="1:14" s="8" customFormat="1" x14ac:dyDescent="0.25">
      <c r="A23" s="8" t="s">
        <v>11</v>
      </c>
      <c r="B23" s="8">
        <v>428.48339476671299</v>
      </c>
      <c r="C23" s="8">
        <v>-51.767805808201501</v>
      </c>
      <c r="D23" s="8">
        <v>-68.919252679081097</v>
      </c>
      <c r="E23" s="8">
        <v>-56.803079577505002</v>
      </c>
      <c r="F23" s="8">
        <v>-833.558661488913</v>
      </c>
      <c r="G23" s="8">
        <v>-136.80435714433099</v>
      </c>
      <c r="H23" s="8">
        <v>-516.47943283827499</v>
      </c>
      <c r="I23" s="8">
        <v>15.940957557666099</v>
      </c>
      <c r="J23" s="8">
        <v>-476.50341729694401</v>
      </c>
      <c r="K23" s="8">
        <v>-954.77935875358503</v>
      </c>
      <c r="L23" s="8">
        <v>-1664.10035772275</v>
      </c>
      <c r="M23" s="15">
        <v>-680.29566590000002</v>
      </c>
      <c r="N23" s="15">
        <v>-169.92221660000001</v>
      </c>
    </row>
    <row r="26" spans="1:14" x14ac:dyDescent="0.25">
      <c r="A26" t="s">
        <v>12</v>
      </c>
    </row>
    <row r="27" spans="1:14" s="3" customFormat="1" x14ac:dyDescent="0.25">
      <c r="A27" s="2">
        <v>0.05</v>
      </c>
      <c r="B27" s="3">
        <v>-0.27881507682043499</v>
      </c>
      <c r="C27" s="3">
        <v>1.8355428982865199E-2</v>
      </c>
      <c r="D27" s="3">
        <v>2.1418929171736399E-2</v>
      </c>
      <c r="E27" s="3">
        <v>1.8270059372259301E-2</v>
      </c>
      <c r="F27" s="3">
        <v>0.301442667133688</v>
      </c>
      <c r="G27" s="3">
        <v>2.9004718493158901E-2</v>
      </c>
      <c r="H27" s="3">
        <v>0.182908406391006</v>
      </c>
      <c r="I27" s="3">
        <v>-4.7475872507112202E-2</v>
      </c>
      <c r="J27" s="3">
        <v>0.153078798706173</v>
      </c>
      <c r="K27" s="3">
        <v>0.42115104539214998</v>
      </c>
      <c r="L27" s="3">
        <v>0.71884830498471697</v>
      </c>
      <c r="M27" s="16">
        <v>0.223969837</v>
      </c>
      <c r="N27" s="16">
        <v>5.5583398999999999E-2</v>
      </c>
    </row>
    <row r="28" spans="1:14" s="3" customFormat="1" x14ac:dyDescent="0.25">
      <c r="A28" s="4">
        <v>0.95</v>
      </c>
      <c r="B28" s="3">
        <v>-0.145309729466258</v>
      </c>
      <c r="C28" s="3">
        <v>3.3504368787825901E-2</v>
      </c>
      <c r="D28" s="3">
        <v>4.7135458223619899E-2</v>
      </c>
      <c r="E28" s="3">
        <v>3.80599218190859E-2</v>
      </c>
      <c r="F28" s="3">
        <v>0.54158434872190298</v>
      </c>
      <c r="G28" s="3">
        <v>0.11159508189587</v>
      </c>
      <c r="H28" s="3">
        <v>0.32993905429417197</v>
      </c>
      <c r="I28" s="3">
        <v>3.4879858091727299E-2</v>
      </c>
      <c r="J28" s="3">
        <v>0.32874894308785202</v>
      </c>
      <c r="K28" s="3">
        <v>0.54317453155699502</v>
      </c>
      <c r="L28" s="3">
        <v>0.95784536976696499</v>
      </c>
      <c r="M28" s="16">
        <v>0.46741295199999999</v>
      </c>
      <c r="N28" s="16">
        <v>0.117210773</v>
      </c>
    </row>
    <row r="29" spans="1:14" x14ac:dyDescent="0.25">
      <c r="K29" s="9"/>
    </row>
    <row r="30" spans="1:14" x14ac:dyDescent="0.25">
      <c r="A30" t="s">
        <v>13</v>
      </c>
      <c r="K30" s="9"/>
    </row>
    <row r="31" spans="1:14" s="6" customFormat="1" x14ac:dyDescent="0.25">
      <c r="A31" s="5">
        <v>0.05</v>
      </c>
      <c r="B31" s="6">
        <v>294.12072709484698</v>
      </c>
      <c r="C31" s="6">
        <v>-67.051513726466993</v>
      </c>
      <c r="D31" s="6">
        <v>-94.589308125798794</v>
      </c>
      <c r="E31" s="6">
        <v>-76.5916550053972</v>
      </c>
      <c r="F31" s="6">
        <v>-1073.13457287808</v>
      </c>
      <c r="G31" s="6">
        <v>-220.062766454013</v>
      </c>
      <c r="H31" s="6">
        <v>-663.18820247596705</v>
      </c>
      <c r="I31" s="6">
        <v>-67.010095514955495</v>
      </c>
      <c r="J31" s="6">
        <v>-652.89961154783305</v>
      </c>
      <c r="K31" s="6">
        <v>-1078.0886383163399</v>
      </c>
      <c r="L31" s="6">
        <v>-1901.95542190993</v>
      </c>
      <c r="M31" s="17">
        <v>-925.30794839999999</v>
      </c>
      <c r="N31" s="17">
        <v>-107.76190099999999</v>
      </c>
    </row>
    <row r="32" spans="1:14" s="6" customFormat="1" x14ac:dyDescent="0.25">
      <c r="A32" s="7">
        <v>0.95</v>
      </c>
      <c r="B32" s="6">
        <v>563.40947112352399</v>
      </c>
      <c r="C32" s="6">
        <v>-36.5131205849748</v>
      </c>
      <c r="D32" s="6">
        <v>-42.732314926476803</v>
      </c>
      <c r="E32" s="6">
        <v>-36.673830325479301</v>
      </c>
      <c r="F32" s="6">
        <v>-588.85299618064096</v>
      </c>
      <c r="G32" s="6">
        <v>-53.517978615715599</v>
      </c>
      <c r="H32" s="6">
        <v>-366.63734017515702</v>
      </c>
      <c r="I32" s="6">
        <v>99.044587515024801</v>
      </c>
      <c r="J32" s="6">
        <v>-298.98050427219698</v>
      </c>
      <c r="K32" s="6">
        <v>-832.09875688512102</v>
      </c>
      <c r="L32" s="6">
        <v>-1420.97020095318</v>
      </c>
      <c r="M32" s="17">
        <v>-434.4859755</v>
      </c>
      <c r="N32" s="17">
        <v>-232.06674670000001</v>
      </c>
    </row>
    <row r="35" spans="1:14" s="10" customFormat="1" x14ac:dyDescent="0.25">
      <c r="A35" s="10" t="s">
        <v>24</v>
      </c>
      <c r="B35" s="10">
        <v>0.99990000000000001</v>
      </c>
      <c r="C35" s="10">
        <v>0.99997499999999995</v>
      </c>
      <c r="D35" s="10">
        <v>0.99992499999999995</v>
      </c>
      <c r="E35" s="10">
        <v>0.99980000000000002</v>
      </c>
      <c r="F35" s="10">
        <v>0.99992499999999995</v>
      </c>
      <c r="G35" s="10">
        <v>0.99855000000000005</v>
      </c>
      <c r="H35" s="10">
        <v>1</v>
      </c>
      <c r="I35" s="10">
        <v>0.62692499999999995</v>
      </c>
      <c r="J35" s="10">
        <v>0.99992499999999995</v>
      </c>
      <c r="K35" s="10">
        <v>1</v>
      </c>
      <c r="M35" s="18">
        <v>0.99997499999999995</v>
      </c>
      <c r="N35" s="18">
        <v>0.99982499999999996</v>
      </c>
    </row>
    <row r="36" spans="1:14" s="10" customFormat="1" x14ac:dyDescent="0.25">
      <c r="A36" s="10" t="s">
        <v>25</v>
      </c>
      <c r="B36" s="10">
        <v>0.99990000000000001</v>
      </c>
      <c r="C36" s="10">
        <v>0.99997499999999995</v>
      </c>
      <c r="D36" s="10">
        <v>0.99990000000000001</v>
      </c>
      <c r="E36" s="10">
        <v>0.99980000000000002</v>
      </c>
      <c r="F36" s="10">
        <v>0.99992499999999995</v>
      </c>
      <c r="G36" s="10">
        <v>0.99814999999999998</v>
      </c>
      <c r="H36" s="10">
        <v>1</v>
      </c>
      <c r="I36" s="10">
        <v>0.65957500000000002</v>
      </c>
      <c r="J36" s="10">
        <v>0.99992499999999995</v>
      </c>
      <c r="K36" s="10">
        <v>1</v>
      </c>
      <c r="M36" s="18">
        <v>0.99990000000000001</v>
      </c>
      <c r="N36" s="18">
        <v>0.99982499999999996</v>
      </c>
    </row>
    <row r="37" spans="1:14" x14ac:dyDescent="0.25">
      <c r="A37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中国近10年各项产量贝叶斯预测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 Zhang</dc:creator>
  <cp:lastModifiedBy>hp</cp:lastModifiedBy>
  <dcterms:created xsi:type="dcterms:W3CDTF">2015-06-05T18:19:34Z</dcterms:created>
  <dcterms:modified xsi:type="dcterms:W3CDTF">2024-12-20T19:25:06Z</dcterms:modified>
</cp:coreProperties>
</file>