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E:\文章\董校 nature food\20241226修改_final\20241226修改\source data\"/>
    </mc:Choice>
  </mc:AlternateContent>
  <xr:revisionPtr revIDLastSave="0" documentId="13_ncr:1_{4BA36DD2-FACB-4B22-B822-516141E9F5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ig.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" l="1"/>
  <c r="K30" i="2"/>
  <c r="K31" i="2"/>
  <c r="K23" i="2"/>
  <c r="K24" i="2"/>
  <c r="K25" i="2"/>
  <c r="K17" i="2"/>
  <c r="K18" i="2"/>
  <c r="K19" i="2"/>
  <c r="K11" i="2"/>
  <c r="K12" i="2"/>
  <c r="K13" i="2"/>
  <c r="K7" i="2"/>
  <c r="K6" i="2"/>
  <c r="K5" i="2"/>
</calcChain>
</file>

<file path=xl/sharedStrings.xml><?xml version="1.0" encoding="utf-8"?>
<sst xmlns="http://schemas.openxmlformats.org/spreadsheetml/2006/main" count="58" uniqueCount="18">
  <si>
    <t>RAS</t>
    <phoneticPr fontId="1" type="noConversion"/>
  </si>
  <si>
    <t>Years</t>
    <phoneticPr fontId="1" type="noConversion"/>
  </si>
  <si>
    <t>FAL</t>
    <phoneticPr fontId="1" type="noConversion"/>
  </si>
  <si>
    <t>FEN</t>
    <phoneticPr fontId="1" type="noConversion"/>
  </si>
  <si>
    <t>FOA</t>
    <phoneticPr fontId="1" type="noConversion"/>
  </si>
  <si>
    <t>FAP</t>
    <phoneticPr fontId="1" type="noConversion"/>
  </si>
  <si>
    <t>nFAP</t>
    <phoneticPr fontId="1" type="noConversion"/>
  </si>
  <si>
    <t>PFA</t>
    <phoneticPr fontId="1" type="noConversion"/>
  </si>
  <si>
    <t>nFAL</t>
    <phoneticPr fontId="1" type="noConversion"/>
  </si>
  <si>
    <t>nFEN</t>
    <phoneticPr fontId="1" type="noConversion"/>
  </si>
  <si>
    <t>Fig. 3A Production in million tonnes (Mt)</t>
    <phoneticPr fontId="1" type="noConversion"/>
  </si>
  <si>
    <t>Fig. 3B Energy consumption in billion kwh (B kwh)</t>
    <phoneticPr fontId="1" type="noConversion"/>
  </si>
  <si>
    <t>Fig. 3C Total nitrogen discharge in billion grams (B g)</t>
    <phoneticPr fontId="1" type="noConversion"/>
  </si>
  <si>
    <t>Fig. 3D Freshwater use in billion m3 (B m3)</t>
    <phoneticPr fontId="1" type="noConversion"/>
  </si>
  <si>
    <t>Fig. 3 E Land use in billion m2 (B m2)</t>
    <phoneticPr fontId="1" type="noConversion"/>
  </si>
  <si>
    <t>Fig.3</t>
    <phoneticPr fontId="1" type="noConversion"/>
  </si>
  <si>
    <t>Year</t>
    <phoneticPr fontId="1" type="noConversion"/>
  </si>
  <si>
    <t>Energy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</si>
</sst>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31"/>
  <sheetViews>
    <sheetView tabSelected="1" topLeftCell="A16" zoomScale="157" zoomScaleNormal="157" workbookViewId="0">
      <selection activeCell="O13" sqref="O13"/>
    </sheetView>
  </sheetViews>
  <sheetFormatPr defaultRowHeight="13.8" x14ac:dyDescent="0.25"/>
  <sheetData>
    <row r="1" spans="1:13" x14ac:dyDescent="0.25">
      <c r="A1" t="s">
        <v>15</v>
      </c>
    </row>
    <row r="3" spans="1:13" x14ac:dyDescent="0.25">
      <c r="A3" t="s">
        <v>10</v>
      </c>
    </row>
    <row r="4" spans="1:13" x14ac:dyDescent="0.25">
      <c r="A4" t="s">
        <v>1</v>
      </c>
      <c r="B4" t="s">
        <v>2</v>
      </c>
      <c r="C4" t="s">
        <v>3</v>
      </c>
      <c r="D4" t="s">
        <v>0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3" x14ac:dyDescent="0.25">
      <c r="A5">
        <v>2021</v>
      </c>
      <c r="B5">
        <v>0.33385900000000002</v>
      </c>
      <c r="C5">
        <v>0.69899599999999995</v>
      </c>
      <c r="D5">
        <v>0.75828899999999999</v>
      </c>
      <c r="E5">
        <v>0.37606499999999998</v>
      </c>
      <c r="F5">
        <v>23.2652</v>
      </c>
      <c r="G5">
        <v>6.0873499999999998</v>
      </c>
      <c r="H5">
        <v>3.9668999999999999</v>
      </c>
      <c r="I5">
        <v>3.7058</v>
      </c>
      <c r="J5">
        <v>12.037000000000001</v>
      </c>
      <c r="K5">
        <f>SUM(B5:J5)</f>
        <v>51.229458999999999</v>
      </c>
    </row>
    <row r="6" spans="1:13" x14ac:dyDescent="0.25">
      <c r="A6">
        <v>2030</v>
      </c>
      <c r="B6">
        <v>0</v>
      </c>
      <c r="C6">
        <v>1.005829281</v>
      </c>
      <c r="D6">
        <v>1.0875790999999999</v>
      </c>
      <c r="E6">
        <v>0.63207233900000004</v>
      </c>
      <c r="F6">
        <v>28.740069999999999</v>
      </c>
      <c r="G6">
        <v>6.9745929999999996</v>
      </c>
      <c r="H6">
        <v>6.5780849999999997</v>
      </c>
      <c r="I6">
        <v>3.8145319999999998</v>
      </c>
      <c r="J6">
        <v>15.31203</v>
      </c>
      <c r="K6">
        <f>SUM(B6:J6)</f>
        <v>64.144790720000003</v>
      </c>
    </row>
    <row r="7" spans="1:13" x14ac:dyDescent="0.25">
      <c r="A7">
        <v>2050</v>
      </c>
      <c r="B7">
        <v>0</v>
      </c>
      <c r="C7">
        <v>1.6354318000000001</v>
      </c>
      <c r="D7">
        <v>1.9198088</v>
      </c>
      <c r="E7">
        <v>1.3117190000000001</v>
      </c>
      <c r="F7">
        <v>39.22363</v>
      </c>
      <c r="G7">
        <v>8.7408889999999992</v>
      </c>
      <c r="H7">
        <v>12.777469999999999</v>
      </c>
      <c r="I7">
        <v>3.7185679999999999</v>
      </c>
      <c r="J7">
        <v>21.25102</v>
      </c>
      <c r="K7">
        <f>SUM(B7:J7)</f>
        <v>90.578536599999993</v>
      </c>
    </row>
    <row r="9" spans="1:13" x14ac:dyDescent="0.25">
      <c r="A9" t="s">
        <v>11</v>
      </c>
    </row>
    <row r="10" spans="1:13" x14ac:dyDescent="0.25">
      <c r="A10" t="s">
        <v>1</v>
      </c>
      <c r="B10" t="s">
        <v>2</v>
      </c>
      <c r="C10" t="s">
        <v>3</v>
      </c>
      <c r="D10" t="s">
        <v>0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L10" t="s">
        <v>16</v>
      </c>
      <c r="M10" t="s">
        <v>17</v>
      </c>
    </row>
    <row r="11" spans="1:13" x14ac:dyDescent="0.25">
      <c r="A11">
        <v>2021</v>
      </c>
      <c r="B11">
        <v>1.0549999999999999</v>
      </c>
      <c r="C11">
        <v>2.2088000000000001</v>
      </c>
      <c r="D11">
        <v>6.5670000000000002</v>
      </c>
      <c r="E11">
        <v>1.1883999999999999</v>
      </c>
      <c r="F11">
        <v>8.6081000000000003</v>
      </c>
      <c r="G11">
        <v>2.2523</v>
      </c>
      <c r="H11">
        <v>6.7400000000000002E-2</v>
      </c>
      <c r="I11">
        <v>6.3E-2</v>
      </c>
      <c r="J11">
        <v>0.2046</v>
      </c>
      <c r="K11">
        <f>SUM(B11:J11)</f>
        <v>22.214599999999994</v>
      </c>
      <c r="L11">
        <v>2021</v>
      </c>
      <c r="M11">
        <v>222.1</v>
      </c>
    </row>
    <row r="12" spans="1:13" x14ac:dyDescent="0.25">
      <c r="A12">
        <v>2030</v>
      </c>
      <c r="B12">
        <v>0</v>
      </c>
      <c r="C12">
        <v>3.1783999999999999</v>
      </c>
      <c r="D12">
        <v>9.4184000000000001</v>
      </c>
      <c r="E12">
        <v>1.9973000000000001</v>
      </c>
      <c r="F12">
        <v>10.633800000000001</v>
      </c>
      <c r="G12">
        <v>2.5806</v>
      </c>
      <c r="H12">
        <v>0.1118</v>
      </c>
      <c r="I12">
        <v>6.4850000000000005E-2</v>
      </c>
      <c r="J12">
        <v>0.26029999999999998</v>
      </c>
      <c r="K12">
        <f>SUM(B12:J12)</f>
        <v>28.245450000000002</v>
      </c>
      <c r="L12">
        <v>2030</v>
      </c>
      <c r="M12">
        <v>282.5</v>
      </c>
    </row>
    <row r="13" spans="1:13" x14ac:dyDescent="0.25">
      <c r="A13">
        <v>2050</v>
      </c>
      <c r="B13">
        <v>0</v>
      </c>
      <c r="C13">
        <v>5.1680000000000001</v>
      </c>
      <c r="D13">
        <v>16.625499999999999</v>
      </c>
      <c r="E13">
        <v>4.1539999999999999</v>
      </c>
      <c r="F13">
        <v>14.512700000000001</v>
      </c>
      <c r="G13">
        <v>3.2341000000000002</v>
      </c>
      <c r="H13">
        <v>0.2172</v>
      </c>
      <c r="I13">
        <v>6.3219999999999998E-2</v>
      </c>
      <c r="J13">
        <v>0.36130000000000001</v>
      </c>
      <c r="K13">
        <f>SUM(B13:J13)</f>
        <v>44.336019999999998</v>
      </c>
      <c r="L13">
        <v>2050</v>
      </c>
      <c r="M13">
        <v>443.3</v>
      </c>
    </row>
    <row r="15" spans="1:13" x14ac:dyDescent="0.25">
      <c r="A15" t="s">
        <v>12</v>
      </c>
    </row>
    <row r="16" spans="1:13" x14ac:dyDescent="0.25">
      <c r="A16" t="s">
        <v>1</v>
      </c>
      <c r="B16" t="s">
        <v>2</v>
      </c>
      <c r="C16" t="s">
        <v>3</v>
      </c>
      <c r="D16" t="s">
        <v>0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</row>
    <row r="17" spans="1:11" x14ac:dyDescent="0.25">
      <c r="A17">
        <v>2021</v>
      </c>
      <c r="B17">
        <v>12.5174</v>
      </c>
      <c r="C17">
        <v>51.290900000000001</v>
      </c>
      <c r="D17">
        <v>4.2016999999999998</v>
      </c>
      <c r="E17">
        <v>27.594899999999999</v>
      </c>
      <c r="F17">
        <v>125.1202</v>
      </c>
      <c r="G17">
        <v>0</v>
      </c>
      <c r="H17">
        <v>20.052700000000002</v>
      </c>
      <c r="I17">
        <v>0</v>
      </c>
      <c r="J17">
        <v>0</v>
      </c>
      <c r="K17">
        <f>SUM(B17:J17)</f>
        <v>240.77780000000001</v>
      </c>
    </row>
    <row r="18" spans="1:11" x14ac:dyDescent="0.25">
      <c r="A18">
        <v>2030</v>
      </c>
      <c r="B18">
        <v>0</v>
      </c>
      <c r="C18">
        <v>73.805700000000002</v>
      </c>
      <c r="D18">
        <v>6.0263</v>
      </c>
      <c r="E18">
        <v>46.380200000000002</v>
      </c>
      <c r="F18">
        <v>154.5641</v>
      </c>
      <c r="G18">
        <v>0</v>
      </c>
      <c r="H18">
        <v>33.252200000000002</v>
      </c>
      <c r="I18">
        <v>0</v>
      </c>
      <c r="J18">
        <v>0</v>
      </c>
      <c r="K18">
        <f>SUM(B18:J18)</f>
        <v>314.02850000000001</v>
      </c>
    </row>
    <row r="19" spans="1:11" x14ac:dyDescent="0.25">
      <c r="A19">
        <v>2050</v>
      </c>
      <c r="B19">
        <v>0</v>
      </c>
      <c r="C19">
        <v>120.0047</v>
      </c>
      <c r="D19">
        <v>10.637700000000001</v>
      </c>
      <c r="E19">
        <v>96.251300000000001</v>
      </c>
      <c r="F19">
        <v>210.94470000000001</v>
      </c>
      <c r="G19">
        <v>0</v>
      </c>
      <c r="H19">
        <v>64.590100000000007</v>
      </c>
      <c r="I19">
        <v>0</v>
      </c>
      <c r="J19">
        <v>0</v>
      </c>
      <c r="K19">
        <f>SUM(B19:J19)</f>
        <v>502.42850000000004</v>
      </c>
    </row>
    <row r="21" spans="1:11" x14ac:dyDescent="0.25">
      <c r="A21" t="s">
        <v>13</v>
      </c>
    </row>
    <row r="22" spans="1:11" x14ac:dyDescent="0.25">
      <c r="A22" t="s">
        <v>1</v>
      </c>
      <c r="B22" t="s">
        <v>2</v>
      </c>
      <c r="C22" t="s">
        <v>3</v>
      </c>
      <c r="D22" t="s">
        <v>0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</row>
    <row r="23" spans="1:11" x14ac:dyDescent="0.25">
      <c r="A23">
        <v>2021</v>
      </c>
      <c r="B23">
        <v>0.83130000000000004</v>
      </c>
      <c r="C23">
        <v>1.1184000000000001</v>
      </c>
      <c r="D23">
        <v>1.1374</v>
      </c>
      <c r="E23">
        <v>0.60170000000000001</v>
      </c>
      <c r="F23">
        <v>102.033</v>
      </c>
      <c r="G23">
        <v>10.744</v>
      </c>
      <c r="H23">
        <v>3.9669999999999997E-2</v>
      </c>
      <c r="I23">
        <v>3.7060000000000001E-3</v>
      </c>
      <c r="J23">
        <v>0</v>
      </c>
      <c r="K23">
        <f>SUM(B23:J23)</f>
        <v>116.509176</v>
      </c>
    </row>
    <row r="24" spans="1:11" x14ac:dyDescent="0.25">
      <c r="A24">
        <v>2030</v>
      </c>
      <c r="B24">
        <v>0</v>
      </c>
      <c r="C24">
        <v>1.6093</v>
      </c>
      <c r="D24">
        <v>1.6314</v>
      </c>
      <c r="E24">
        <v>1.0113000000000001</v>
      </c>
      <c r="F24">
        <v>126.044</v>
      </c>
      <c r="G24">
        <v>12.31</v>
      </c>
      <c r="H24">
        <v>6.5780000000000005E-2</v>
      </c>
      <c r="I24">
        <v>3.8149999999999998E-3</v>
      </c>
      <c r="J24">
        <v>0</v>
      </c>
      <c r="K24">
        <f>SUM(B24:J24)</f>
        <v>142.67559499999999</v>
      </c>
    </row>
    <row r="25" spans="1:11" x14ac:dyDescent="0.25">
      <c r="A25">
        <v>2050</v>
      </c>
      <c r="B25">
        <v>0</v>
      </c>
      <c r="C25">
        <v>2.6166999999999998</v>
      </c>
      <c r="D25">
        <v>2.8797000000000001</v>
      </c>
      <c r="E25">
        <v>2.0988000000000002</v>
      </c>
      <c r="F25">
        <v>172.02099999999999</v>
      </c>
      <c r="G25">
        <v>15.428000000000001</v>
      </c>
      <c r="H25">
        <v>0.1278</v>
      </c>
      <c r="I25">
        <v>3.7190000000000001E-3</v>
      </c>
      <c r="J25">
        <v>0</v>
      </c>
      <c r="K25">
        <f>SUM(B25:J25)</f>
        <v>195.17571899999999</v>
      </c>
    </row>
    <row r="27" spans="1:11" x14ac:dyDescent="0.25">
      <c r="A27" t="s">
        <v>14</v>
      </c>
    </row>
    <row r="28" spans="1:11" x14ac:dyDescent="0.25">
      <c r="A28" t="s">
        <v>1</v>
      </c>
      <c r="B28" t="s">
        <v>2</v>
      </c>
      <c r="C28" t="s">
        <v>3</v>
      </c>
      <c r="D28" t="s">
        <v>0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</row>
    <row r="29" spans="1:11" x14ac:dyDescent="0.25">
      <c r="A29">
        <v>2021</v>
      </c>
      <c r="B29">
        <v>0</v>
      </c>
      <c r="C29">
        <v>0</v>
      </c>
      <c r="D29">
        <v>8.7959999999999997E-2</v>
      </c>
      <c r="E29">
        <v>0</v>
      </c>
      <c r="F29">
        <v>3.0710000000000002</v>
      </c>
      <c r="G29">
        <v>1.08355</v>
      </c>
      <c r="H29">
        <v>3.967E-3</v>
      </c>
      <c r="I29">
        <v>3.7060000000000001E-3</v>
      </c>
      <c r="J29">
        <v>0</v>
      </c>
      <c r="K29">
        <f>SUM(B29:J29)</f>
        <v>4.2501830000000007</v>
      </c>
    </row>
    <row r="30" spans="1:11" x14ac:dyDescent="0.25">
      <c r="A30">
        <v>2030</v>
      </c>
      <c r="B30">
        <v>0</v>
      </c>
      <c r="C30">
        <v>0</v>
      </c>
      <c r="D30">
        <v>0.12615999999999999</v>
      </c>
      <c r="E30">
        <v>0</v>
      </c>
      <c r="F30">
        <v>3.7936999999999999</v>
      </c>
      <c r="G30">
        <v>1.2415</v>
      </c>
      <c r="H30">
        <v>6.5779999999999996E-3</v>
      </c>
      <c r="I30">
        <v>3.8149999999999998E-3</v>
      </c>
      <c r="J30">
        <v>0</v>
      </c>
      <c r="K30">
        <f>SUM(B30:J30)</f>
        <v>5.1717530000000007</v>
      </c>
    </row>
    <row r="31" spans="1:11" x14ac:dyDescent="0.25">
      <c r="A31">
        <v>2050</v>
      </c>
      <c r="B31">
        <v>0</v>
      </c>
      <c r="C31">
        <v>0</v>
      </c>
      <c r="D31">
        <v>0.22270000000000001</v>
      </c>
      <c r="E31">
        <v>0</v>
      </c>
      <c r="F31">
        <v>5.1775000000000002</v>
      </c>
      <c r="G31">
        <v>1.5559000000000001</v>
      </c>
      <c r="H31">
        <v>1.278E-2</v>
      </c>
      <c r="I31">
        <v>3.7190000000000001E-3</v>
      </c>
      <c r="J31">
        <v>0</v>
      </c>
      <c r="K31">
        <f>SUM(B31:J31)</f>
        <v>6.9725990000000007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dongsl@ouc.edu.cn</dc:creator>
  <cp:lastModifiedBy>Shuangen Yu</cp:lastModifiedBy>
  <dcterms:created xsi:type="dcterms:W3CDTF">2023-10-17T01:22:26Z</dcterms:created>
  <dcterms:modified xsi:type="dcterms:W3CDTF">2024-12-26T07:43:34Z</dcterms:modified>
</cp:coreProperties>
</file>