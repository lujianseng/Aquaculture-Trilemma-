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生活\桌面\"/>
    </mc:Choice>
  </mc:AlternateContent>
  <bookViews>
    <workbookView xWindow="-5592" yWindow="-16296" windowWidth="25788" windowHeight="13992"/>
  </bookViews>
  <sheets>
    <sheet name="Fig.1" sheetId="1" r:id="rId1"/>
    <sheet name="Fig.3" sheetId="2" r:id="rId2"/>
    <sheet name="Fig.4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9" i="2" l="1"/>
  <c r="K30" i="2"/>
  <c r="K31" i="2"/>
  <c r="K23" i="2"/>
  <c r="K24" i="2"/>
  <c r="K25" i="2"/>
  <c r="K17" i="2"/>
  <c r="K18" i="2"/>
  <c r="K19" i="2"/>
  <c r="K11" i="2"/>
  <c r="K12" i="2"/>
  <c r="K13" i="2"/>
  <c r="K7" i="2"/>
  <c r="K6" i="2"/>
  <c r="K5" i="2"/>
  <c r="O22" i="1" l="1"/>
  <c r="L22" i="1"/>
  <c r="G22" i="1"/>
  <c r="D22" i="1"/>
  <c r="O21" i="1"/>
  <c r="L21" i="1"/>
  <c r="G21" i="1"/>
  <c r="D21" i="1"/>
  <c r="O20" i="1"/>
  <c r="L20" i="1"/>
  <c r="G20" i="1"/>
  <c r="D20" i="1"/>
  <c r="O19" i="1"/>
  <c r="L19" i="1"/>
  <c r="G19" i="1"/>
  <c r="D19" i="1"/>
  <c r="O18" i="1"/>
  <c r="L18" i="1"/>
  <c r="G18" i="1"/>
  <c r="D18" i="1"/>
  <c r="O17" i="1"/>
  <c r="L17" i="1"/>
  <c r="G17" i="1"/>
  <c r="D17" i="1"/>
  <c r="O16" i="1"/>
  <c r="L16" i="1"/>
  <c r="G16" i="1"/>
  <c r="D16" i="1"/>
  <c r="O15" i="1"/>
  <c r="L15" i="1"/>
  <c r="G15" i="1"/>
  <c r="D15" i="1"/>
  <c r="O14" i="1"/>
  <c r="L14" i="1"/>
  <c r="G14" i="1"/>
  <c r="D14" i="1"/>
  <c r="O13" i="1"/>
  <c r="L13" i="1"/>
  <c r="G13" i="1"/>
  <c r="D13" i="1"/>
  <c r="O12" i="1"/>
  <c r="L12" i="1"/>
  <c r="G12" i="1"/>
  <c r="D12" i="1"/>
  <c r="O11" i="1"/>
  <c r="L11" i="1"/>
  <c r="G11" i="1"/>
  <c r="D11" i="1"/>
  <c r="O10" i="1"/>
  <c r="L10" i="1"/>
  <c r="G10" i="1"/>
  <c r="D10" i="1"/>
  <c r="O9" i="1"/>
  <c r="L9" i="1"/>
  <c r="G9" i="1"/>
  <c r="D9" i="1"/>
  <c r="O8" i="1"/>
  <c r="L8" i="1"/>
  <c r="F8" i="1"/>
  <c r="E8" i="1"/>
  <c r="G8" i="1" s="1"/>
  <c r="C8" i="1"/>
  <c r="B8" i="1"/>
  <c r="D8" i="1" s="1"/>
  <c r="O7" i="1"/>
  <c r="L7" i="1"/>
  <c r="G7" i="1"/>
  <c r="D7" i="1"/>
  <c r="O6" i="1"/>
  <c r="L6" i="1"/>
  <c r="G6" i="1"/>
  <c r="D6" i="1"/>
  <c r="O5" i="1"/>
  <c r="L5" i="1"/>
  <c r="G5" i="1"/>
  <c r="D5" i="1"/>
  <c r="O4" i="1"/>
  <c r="L4" i="1"/>
  <c r="G4" i="1"/>
  <c r="D4" i="1"/>
</calcChain>
</file>

<file path=xl/sharedStrings.xml><?xml version="1.0" encoding="utf-8"?>
<sst xmlns="http://schemas.openxmlformats.org/spreadsheetml/2006/main" count="187" uniqueCount="83">
  <si>
    <t>Figure 1A</t>
    <phoneticPr fontId="1" type="noConversion"/>
  </si>
  <si>
    <t>Figure 1B</t>
    <phoneticPr fontId="1" type="noConversion"/>
  </si>
  <si>
    <t>TN</t>
    <phoneticPr fontId="1" type="noConversion"/>
  </si>
  <si>
    <t>FP</t>
    <phoneticPr fontId="1" type="noConversion"/>
  </si>
  <si>
    <t>SP</t>
    <phoneticPr fontId="1" type="noConversion"/>
  </si>
  <si>
    <t>FRAS</t>
    <phoneticPr fontId="1" type="noConversion"/>
  </si>
  <si>
    <t>SRAS</t>
    <phoneticPr fontId="1" type="noConversion"/>
  </si>
  <si>
    <t>g/kg</t>
    <phoneticPr fontId="1" type="noConversion"/>
  </si>
  <si>
    <t>TP</t>
    <phoneticPr fontId="1" type="noConversion"/>
  </si>
  <si>
    <t>Semi-intensive</t>
    <phoneticPr fontId="1" type="noConversion"/>
  </si>
  <si>
    <t>Intensive</t>
    <phoneticPr fontId="1" type="noConversion"/>
  </si>
  <si>
    <t>RAS</t>
    <phoneticPr fontId="1" type="noConversion"/>
  </si>
  <si>
    <t>MJ/kg</t>
    <phoneticPr fontId="1" type="noConversion"/>
  </si>
  <si>
    <t>kwh/t</t>
  </si>
  <si>
    <t>Fig. 1C-1E</t>
    <phoneticPr fontId="1" type="noConversion"/>
  </si>
  <si>
    <t>Years</t>
    <phoneticPr fontId="1" type="noConversion"/>
  </si>
  <si>
    <t>FAL</t>
    <phoneticPr fontId="1" type="noConversion"/>
  </si>
  <si>
    <t>FEN</t>
    <phoneticPr fontId="1" type="noConversion"/>
  </si>
  <si>
    <t>FOA</t>
    <phoneticPr fontId="1" type="noConversion"/>
  </si>
  <si>
    <t>FAP</t>
    <phoneticPr fontId="1" type="noConversion"/>
  </si>
  <si>
    <t>nFAP</t>
    <phoneticPr fontId="1" type="noConversion"/>
  </si>
  <si>
    <t>PFA</t>
    <phoneticPr fontId="1" type="noConversion"/>
  </si>
  <si>
    <t>nFAL</t>
    <phoneticPr fontId="1" type="noConversion"/>
  </si>
  <si>
    <t>nFEN</t>
    <phoneticPr fontId="1" type="noConversion"/>
  </si>
  <si>
    <t>TN discharge (g/kg)</t>
    <phoneticPr fontId="1" type="noConversion"/>
  </si>
  <si>
    <t>Energy consumption (kwh/kg)</t>
    <phoneticPr fontId="1" type="noConversion"/>
  </si>
  <si>
    <t>BAU</t>
    <phoneticPr fontId="1" type="noConversion"/>
  </si>
  <si>
    <t>Production Mt</t>
    <phoneticPr fontId="1" type="noConversion"/>
  </si>
  <si>
    <t>Adjusted</t>
  </si>
  <si>
    <t>Adjusted</t>
    <phoneticPr fontId="1" type="noConversion"/>
  </si>
  <si>
    <t>年份</t>
    <phoneticPr fontId="1" type="noConversion"/>
  </si>
  <si>
    <t>能耗</t>
    <phoneticPr fontId="1" type="noConversion"/>
  </si>
  <si>
    <t>Fig. 3A Production in million tonnes (Mt)</t>
    <phoneticPr fontId="1" type="noConversion"/>
  </si>
  <si>
    <t>Fig. 3B Energy consumption in billion kwh (B kwh)</t>
    <phoneticPr fontId="1" type="noConversion"/>
  </si>
  <si>
    <t>Fig. 3C Total nitrogen discharge in billion grams (B g)</t>
    <phoneticPr fontId="1" type="noConversion"/>
  </si>
  <si>
    <t>Fig. 3D Freshwater use in billion m3 (B m3)</t>
    <phoneticPr fontId="1" type="noConversion"/>
  </si>
  <si>
    <t>Fig. 3 E Land use in billion m2 (B m2)</t>
    <phoneticPr fontId="1" type="noConversion"/>
  </si>
  <si>
    <t>shrimp</t>
    <phoneticPr fontId="1" type="noConversion"/>
  </si>
  <si>
    <t>RAS ratios %</t>
    <phoneticPr fontId="1" type="noConversion"/>
  </si>
  <si>
    <t>Year</t>
    <phoneticPr fontId="1" type="noConversion"/>
  </si>
  <si>
    <t>area</t>
    <phoneticPr fontId="1" type="noConversion"/>
  </si>
  <si>
    <t>pond productivity t/ha</t>
    <phoneticPr fontId="1" type="noConversion"/>
  </si>
  <si>
    <t>productivity</t>
    <phoneticPr fontId="1" type="noConversion"/>
  </si>
  <si>
    <t>Mariculture production</t>
    <phoneticPr fontId="1" type="noConversion"/>
  </si>
  <si>
    <t>year</t>
    <phoneticPr fontId="1" type="noConversion"/>
  </si>
  <si>
    <t>Inland production</t>
    <phoneticPr fontId="1" type="noConversion"/>
  </si>
  <si>
    <t>Inland RAS production t</t>
    <phoneticPr fontId="1" type="noConversion"/>
  </si>
  <si>
    <t>ratio</t>
    <phoneticPr fontId="1" type="noConversion"/>
  </si>
  <si>
    <t>Mariculture RAS production t</t>
    <phoneticPr fontId="1" type="noConversion"/>
  </si>
  <si>
    <t>Inland total production</t>
    <phoneticPr fontId="1" type="noConversion"/>
  </si>
  <si>
    <t>mariculture total production</t>
    <phoneticPr fontId="1" type="noConversion"/>
  </si>
  <si>
    <t>ratio</t>
    <phoneticPr fontId="1" type="noConversion"/>
  </si>
  <si>
    <t>Mean</t>
  </si>
  <si>
    <t>SD</t>
  </si>
  <si>
    <t>Energy</t>
    <phoneticPr fontId="1" type="noConversion"/>
  </si>
  <si>
    <t>Fig. 1G    TN g/kg</t>
    <phoneticPr fontId="1" type="noConversion"/>
  </si>
  <si>
    <t>Tanks</t>
    <phoneticPr fontId="1" type="noConversion"/>
  </si>
  <si>
    <t>Fig. 1H     TP g/kg</t>
    <phoneticPr fontId="1" type="noConversion"/>
  </si>
  <si>
    <t>Fig. 1F    Energy consumption MJ/kg</t>
    <phoneticPr fontId="1" type="noConversion"/>
  </si>
  <si>
    <t>Fig. 1F-1H</t>
    <phoneticPr fontId="1" type="noConversion"/>
  </si>
  <si>
    <t>fish</t>
    <phoneticPr fontId="1" type="noConversion"/>
  </si>
  <si>
    <t>Mean</t>
    <phoneticPr fontId="1" type="noConversion"/>
  </si>
  <si>
    <t>species</t>
  </si>
  <si>
    <t>prduction</t>
  </si>
  <si>
    <t>edible portion</t>
  </si>
  <si>
    <t>GHG_total (MtCO2e)</t>
  </si>
  <si>
    <t>GHG_sectors</t>
  </si>
  <si>
    <t>field</t>
  </si>
  <si>
    <t>shrimp</t>
  </si>
  <si>
    <t>feed</t>
  </si>
  <si>
    <t>freshwater</t>
  </si>
  <si>
    <t>energy</t>
  </si>
  <si>
    <t>aquatic</t>
  </si>
  <si>
    <t>mariculture</t>
  </si>
  <si>
    <t>fish</t>
  </si>
  <si>
    <r>
      <t>Fresh water use (m</t>
    </r>
    <r>
      <rPr>
        <vertAlign val="superscript"/>
        <sz val="11"/>
        <rFont val="等线"/>
        <family val="3"/>
        <charset val="134"/>
        <scheme val="minor"/>
      </rPr>
      <t>3</t>
    </r>
    <r>
      <rPr>
        <sz val="11"/>
        <rFont val="等线"/>
        <family val="3"/>
        <charset val="134"/>
        <scheme val="minor"/>
      </rPr>
      <t>/kg)</t>
    </r>
    <phoneticPr fontId="1" type="noConversion"/>
  </si>
  <si>
    <r>
      <t>Land use (m</t>
    </r>
    <r>
      <rPr>
        <vertAlign val="superscript"/>
        <sz val="11"/>
        <rFont val="等线"/>
        <family val="3"/>
        <charset val="134"/>
        <scheme val="minor"/>
      </rPr>
      <t>2</t>
    </r>
    <r>
      <rPr>
        <sz val="11"/>
        <rFont val="等线"/>
        <family val="3"/>
        <charset val="134"/>
        <scheme val="minor"/>
      </rPr>
      <t>/kg)</t>
    </r>
    <phoneticPr fontId="1" type="noConversion"/>
  </si>
  <si>
    <r>
      <t>CO</t>
    </r>
    <r>
      <rPr>
        <vertAlign val="subscript"/>
        <sz val="11"/>
        <rFont val="等线"/>
        <family val="3"/>
        <charset val="134"/>
        <scheme val="minor"/>
      </rPr>
      <t>2</t>
    </r>
    <r>
      <rPr>
        <sz val="11"/>
        <rFont val="等线"/>
        <family val="3"/>
        <charset val="134"/>
        <scheme val="minor"/>
      </rPr>
      <t xml:space="preserve"> emissions (B kg)</t>
    </r>
    <phoneticPr fontId="1" type="noConversion"/>
  </si>
  <si>
    <t>Fig1</t>
    <phoneticPr fontId="1" type="noConversion"/>
  </si>
  <si>
    <t>Fig.4</t>
    <phoneticPr fontId="1" type="noConversion"/>
  </si>
  <si>
    <t>Fig.3</t>
    <phoneticPr fontId="1" type="noConversion"/>
  </si>
  <si>
    <t>Fig1.I</t>
    <phoneticPr fontId="1" type="noConversion"/>
  </si>
  <si>
    <t>Fig1.J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</si>
</sst>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vertAlign val="superscript"/>
      <sz val="11"/>
      <name val="等线"/>
      <family val="3"/>
      <charset val="134"/>
      <scheme val="minor"/>
    </font>
    <font>
      <vertAlign val="subscript"/>
      <sz val="11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sz val="11"/>
      <name val="宋体"/>
      <family val="3"/>
      <charset val="134"/>
    </font>
    <font>
      <sz val="10.5"/>
      <name val="Times New Roman"/>
      <family val="1"/>
    </font>
    <font>
      <sz val="11"/>
      <name val="Times New Roman"/>
      <family val="1"/>
    </font>
    <font>
      <b/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275408087358065"/>
          <c:y val="4.3559320354192785E-2"/>
          <c:w val="0.62316392269148191"/>
          <c:h val="0.81079636392466214"/>
        </c:manualLayout>
      </c:layout>
      <c:lineChart>
        <c:grouping val="standard"/>
        <c:varyColors val="0"/>
        <c:ser>
          <c:idx val="0"/>
          <c:order val="0"/>
          <c:tx>
            <c:strRef>
              <c:f>Fig.4!$A$4</c:f>
              <c:strCache>
                <c:ptCount val="1"/>
                <c:pt idx="0">
                  <c:v>BAU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Fig.4!$B$3:$D$3</c:f>
              <c:numCache>
                <c:formatCode>General</c:formatCode>
                <c:ptCount val="3"/>
                <c:pt idx="0">
                  <c:v>2021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Fig.4!$B$4:$D$4</c:f>
              <c:numCache>
                <c:formatCode>General</c:formatCode>
                <c:ptCount val="3"/>
                <c:pt idx="0">
                  <c:v>51.23</c:v>
                </c:pt>
                <c:pt idx="1">
                  <c:v>64.144499999999994</c:v>
                </c:pt>
                <c:pt idx="2">
                  <c:v>90.58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24-4945-B602-D5C822AB7562}"/>
            </c:ext>
          </c:extLst>
        </c:ser>
        <c:ser>
          <c:idx val="1"/>
          <c:order val="1"/>
          <c:tx>
            <c:strRef>
              <c:f>Fig.4!$A$5</c:f>
              <c:strCache>
                <c:ptCount val="1"/>
                <c:pt idx="0">
                  <c:v>Adjusted</c:v>
                </c:pt>
              </c:strCache>
            </c:strRef>
          </c:tx>
          <c:spPr>
            <a:ln w="12700" cap="rnd">
              <a:solidFill>
                <a:srgbClr val="0000FF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00FF"/>
                </a:solidFill>
              </a:ln>
              <a:effectLst/>
            </c:spPr>
          </c:marker>
          <c:cat>
            <c:numRef>
              <c:f>Fig.4!$B$3:$D$3</c:f>
              <c:numCache>
                <c:formatCode>General</c:formatCode>
                <c:ptCount val="3"/>
                <c:pt idx="0">
                  <c:v>2021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Fig.4!$B$5:$D$5</c:f>
              <c:numCache>
                <c:formatCode>General</c:formatCode>
                <c:ptCount val="3"/>
                <c:pt idx="0">
                  <c:v>51.23</c:v>
                </c:pt>
                <c:pt idx="1">
                  <c:v>64.144800000000004</c:v>
                </c:pt>
                <c:pt idx="2">
                  <c:v>90.78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24-4945-B602-D5C822AB7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0946112"/>
        <c:axId val="900943232"/>
      </c:lineChart>
      <c:catAx>
        <c:axId val="9009461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00943232"/>
        <c:crosses val="autoZero"/>
        <c:auto val="1"/>
        <c:lblAlgn val="ctr"/>
        <c:lblOffset val="100"/>
        <c:noMultiLvlLbl val="0"/>
      </c:catAx>
      <c:valAx>
        <c:axId val="900943232"/>
        <c:scaling>
          <c:orientation val="minMax"/>
          <c:max val="95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Production (Mt)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5.5555555555555558E-3"/>
              <c:y val="0.263874307378244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00946112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650076494448889"/>
          <c:y val="0.14257943852426835"/>
          <c:w val="0.4496846182997179"/>
          <c:h val="0.194298697006748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10</xdr:row>
      <xdr:rowOff>0</xdr:rowOff>
    </xdr:from>
    <xdr:to>
      <xdr:col>20</xdr:col>
      <xdr:colOff>485775</xdr:colOff>
      <xdr:row>19</xdr:row>
      <xdr:rowOff>114300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7B29D42-F81A-4B75-9C4F-0509946C3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99"/>
  <sheetViews>
    <sheetView tabSelected="1" topLeftCell="A52" workbookViewId="0">
      <selection activeCell="A61" sqref="A61:G77"/>
    </sheetView>
  </sheetViews>
  <sheetFormatPr defaultRowHeight="13.8"/>
  <cols>
    <col min="1" max="1" width="9" bestFit="1" customWidth="1"/>
    <col min="2" max="2" width="16.5546875" customWidth="1"/>
    <col min="3" max="4" width="9" bestFit="1" customWidth="1"/>
    <col min="5" max="5" width="21.21875" customWidth="1"/>
    <col min="6" max="7" width="9" bestFit="1" customWidth="1"/>
    <col min="9" max="9" width="9" bestFit="1" customWidth="1"/>
    <col min="10" max="10" width="15.77734375" customWidth="1"/>
    <col min="11" max="11" width="9.5546875" bestFit="1" customWidth="1"/>
    <col min="12" max="12" width="14.5546875" customWidth="1"/>
    <col min="13" max="13" width="12.5546875" customWidth="1"/>
    <col min="14" max="14" width="12.21875" customWidth="1"/>
    <col min="15" max="15" width="15" customWidth="1"/>
  </cols>
  <sheetData>
    <row r="1" spans="1:16">
      <c r="A1" s="2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2" t="s">
        <v>0</v>
      </c>
      <c r="B2" s="2" t="s">
        <v>41</v>
      </c>
      <c r="C2" s="2"/>
      <c r="D2" s="2"/>
      <c r="E2" s="2"/>
      <c r="F2" s="2"/>
      <c r="G2" s="2"/>
      <c r="H2" s="2"/>
      <c r="I2" s="2" t="s">
        <v>1</v>
      </c>
      <c r="J2" s="2" t="s">
        <v>38</v>
      </c>
      <c r="K2" s="2"/>
      <c r="L2" s="2"/>
      <c r="M2" s="2"/>
      <c r="N2" s="2"/>
      <c r="O2" s="2"/>
      <c r="P2" s="2"/>
    </row>
    <row r="3" spans="1:16" ht="14.4">
      <c r="A3" s="2" t="s">
        <v>39</v>
      </c>
      <c r="B3" s="2" t="s">
        <v>43</v>
      </c>
      <c r="C3" s="2" t="s">
        <v>40</v>
      </c>
      <c r="D3" s="3" t="s">
        <v>42</v>
      </c>
      <c r="E3" s="2" t="s">
        <v>45</v>
      </c>
      <c r="F3" s="2" t="s">
        <v>40</v>
      </c>
      <c r="G3" s="3" t="s">
        <v>42</v>
      </c>
      <c r="H3" s="2"/>
      <c r="I3" s="2" t="s">
        <v>44</v>
      </c>
      <c r="J3" s="2" t="s">
        <v>46</v>
      </c>
      <c r="K3" s="2" t="s">
        <v>49</v>
      </c>
      <c r="L3" s="3" t="s">
        <v>47</v>
      </c>
      <c r="M3" s="2" t="s">
        <v>48</v>
      </c>
      <c r="N3" s="2" t="s">
        <v>50</v>
      </c>
      <c r="O3" s="3" t="s">
        <v>51</v>
      </c>
      <c r="P3" s="2"/>
    </row>
    <row r="4" spans="1:16">
      <c r="A4" s="2">
        <v>2003</v>
      </c>
      <c r="B4" s="2">
        <v>1123705</v>
      </c>
      <c r="C4" s="2">
        <v>265513</v>
      </c>
      <c r="D4" s="2">
        <f t="shared" ref="D4:D22" si="0">B4/C4</f>
        <v>4.232203319611469</v>
      </c>
      <c r="E4" s="2">
        <v>12515093</v>
      </c>
      <c r="F4" s="2">
        <v>2398740</v>
      </c>
      <c r="G4" s="2">
        <f t="shared" ref="G4:G22" si="1">E4/F4</f>
        <v>5.2173611979622638</v>
      </c>
      <c r="H4" s="2"/>
      <c r="I4" s="2">
        <v>2003</v>
      </c>
      <c r="J4" s="2">
        <v>82307</v>
      </c>
      <c r="K4" s="2">
        <v>17742734</v>
      </c>
      <c r="L4" s="2">
        <f t="shared" ref="L4:L22" si="2">J4/K4*100</f>
        <v>0.46389130333577677</v>
      </c>
      <c r="M4" s="2">
        <v>36863</v>
      </c>
      <c r="N4" s="2">
        <v>12533061</v>
      </c>
      <c r="O4" s="2">
        <f t="shared" ref="O4:O22" si="3">M4/N4*100</f>
        <v>0.29412607183512474</v>
      </c>
      <c r="P4" s="2"/>
    </row>
    <row r="5" spans="1:16">
      <c r="A5" s="2">
        <v>2004</v>
      </c>
      <c r="B5" s="2">
        <v>1206032</v>
      </c>
      <c r="C5" s="2">
        <v>294119</v>
      </c>
      <c r="D5" s="2">
        <f t="shared" si="0"/>
        <v>4.1004899377462865</v>
      </c>
      <c r="E5" s="2">
        <v>13312418</v>
      </c>
      <c r="F5" s="2">
        <v>2429479</v>
      </c>
      <c r="G5" s="2">
        <f t="shared" si="1"/>
        <v>5.4795361474620687</v>
      </c>
      <c r="H5" s="2"/>
      <c r="I5" s="2">
        <v>2004</v>
      </c>
      <c r="J5" s="2">
        <v>93091</v>
      </c>
      <c r="K5" s="2">
        <v>18919972</v>
      </c>
      <c r="L5" s="2">
        <f t="shared" si="2"/>
        <v>0.49202504105185774</v>
      </c>
      <c r="M5" s="2">
        <v>51109</v>
      </c>
      <c r="N5" s="2">
        <v>13167049</v>
      </c>
      <c r="O5" s="2">
        <f t="shared" si="3"/>
        <v>0.38815834892085538</v>
      </c>
      <c r="P5" s="2"/>
    </row>
    <row r="6" spans="1:16">
      <c r="A6" s="2">
        <v>2005</v>
      </c>
      <c r="B6" s="2">
        <v>1259134</v>
      </c>
      <c r="C6" s="2">
        <v>298534</v>
      </c>
      <c r="D6" s="2">
        <f t="shared" si="0"/>
        <v>4.2177239443413477</v>
      </c>
      <c r="E6" s="2">
        <v>14099666</v>
      </c>
      <c r="F6" s="2">
        <v>2495361</v>
      </c>
      <c r="G6" s="2">
        <f t="shared" si="1"/>
        <v>5.6503511916712652</v>
      </c>
      <c r="H6" s="2"/>
      <c r="I6" s="2">
        <v>2005</v>
      </c>
      <c r="J6" s="2">
        <v>124915</v>
      </c>
      <c r="K6" s="2">
        <v>20084654</v>
      </c>
      <c r="L6" s="2">
        <f t="shared" si="2"/>
        <v>0.62194250396347384</v>
      </c>
      <c r="M6" s="2">
        <v>78122</v>
      </c>
      <c r="N6" s="2">
        <v>13847847</v>
      </c>
      <c r="O6" s="2">
        <f t="shared" si="3"/>
        <v>0.56414545885725054</v>
      </c>
      <c r="P6" s="2"/>
    </row>
    <row r="7" spans="1:16">
      <c r="A7" s="2">
        <v>2006</v>
      </c>
      <c r="B7" s="2">
        <v>1503097</v>
      </c>
      <c r="C7" s="2">
        <v>307844</v>
      </c>
      <c r="D7" s="2">
        <f t="shared" si="0"/>
        <v>4.8826580995569184</v>
      </c>
      <c r="E7" s="2">
        <v>14945131</v>
      </c>
      <c r="F7" s="2">
        <v>2531048</v>
      </c>
      <c r="G7" s="2">
        <f t="shared" si="1"/>
        <v>5.9047204952256926</v>
      </c>
      <c r="H7" s="2"/>
      <c r="I7" s="2">
        <v>2006</v>
      </c>
      <c r="J7" s="2">
        <v>125717</v>
      </c>
      <c r="K7" s="2">
        <v>21483105</v>
      </c>
      <c r="L7" s="2">
        <f t="shared" si="2"/>
        <v>0.58519008309087539</v>
      </c>
      <c r="M7" s="2">
        <v>85718</v>
      </c>
      <c r="N7" s="2">
        <v>14456399</v>
      </c>
      <c r="O7" s="2">
        <f t="shared" si="3"/>
        <v>0.59294157556110616</v>
      </c>
      <c r="P7" s="2"/>
    </row>
    <row r="8" spans="1:16">
      <c r="A8" s="2">
        <v>2007</v>
      </c>
      <c r="B8" s="2">
        <f>(B7+B9)/2</f>
        <v>1458659</v>
      </c>
      <c r="C8" s="2">
        <f>(C7+C9)/2</f>
        <v>329336.5</v>
      </c>
      <c r="D8" s="2">
        <f t="shared" si="0"/>
        <v>4.4290839308731345</v>
      </c>
      <c r="E8" s="2">
        <f>(E7+E9)/2</f>
        <v>14769801.5</v>
      </c>
      <c r="F8" s="2">
        <f>(F7+F9)/2</f>
        <v>2337881.5</v>
      </c>
      <c r="G8" s="2">
        <f t="shared" si="1"/>
        <v>6.31760057128644</v>
      </c>
      <c r="H8" s="2"/>
      <c r="I8" s="2">
        <v>2007</v>
      </c>
      <c r="J8" s="2">
        <v>134459</v>
      </c>
      <c r="K8" s="2">
        <v>19709906</v>
      </c>
      <c r="L8" s="2">
        <f t="shared" si="2"/>
        <v>0.68218996072330329</v>
      </c>
      <c r="M8" s="2">
        <v>87362</v>
      </c>
      <c r="N8" s="2">
        <v>13073400</v>
      </c>
      <c r="O8" s="2">
        <f t="shared" si="3"/>
        <v>0.66824238530145186</v>
      </c>
      <c r="P8" s="2"/>
    </row>
    <row r="9" spans="1:16">
      <c r="A9" s="2">
        <v>2008</v>
      </c>
      <c r="B9" s="2">
        <v>1414221</v>
      </c>
      <c r="C9" s="2">
        <v>350829</v>
      </c>
      <c r="D9" s="2">
        <f t="shared" si="0"/>
        <v>4.0310835193213785</v>
      </c>
      <c r="E9" s="2">
        <v>14594472</v>
      </c>
      <c r="F9" s="2">
        <v>2144715</v>
      </c>
      <c r="G9" s="2">
        <f t="shared" si="1"/>
        <v>6.8048537917625422</v>
      </c>
      <c r="H9" s="2"/>
      <c r="I9" s="2">
        <v>2008</v>
      </c>
      <c r="J9" s="2">
        <v>133680</v>
      </c>
      <c r="K9" s="2">
        <v>20724977</v>
      </c>
      <c r="L9" s="2">
        <f t="shared" si="2"/>
        <v>0.64501880991231009</v>
      </c>
      <c r="M9" s="2">
        <v>83250</v>
      </c>
      <c r="N9" s="2">
        <v>13403236</v>
      </c>
      <c r="O9" s="2">
        <f t="shared" si="3"/>
        <v>0.62111866119495318</v>
      </c>
      <c r="P9" s="2"/>
    </row>
    <row r="10" spans="1:16">
      <c r="A10" s="2">
        <v>2009</v>
      </c>
      <c r="B10" s="2">
        <v>1852906</v>
      </c>
      <c r="C10" s="2">
        <v>416383</v>
      </c>
      <c r="D10" s="2">
        <f t="shared" si="0"/>
        <v>4.4500039626978047</v>
      </c>
      <c r="E10" s="2">
        <v>15488542</v>
      </c>
      <c r="F10" s="2">
        <v>2331900</v>
      </c>
      <c r="G10" s="2">
        <f t="shared" si="1"/>
        <v>6.642026673528024</v>
      </c>
      <c r="H10" s="2"/>
      <c r="I10" s="2">
        <v>2009</v>
      </c>
      <c r="J10" s="2">
        <v>158946</v>
      </c>
      <c r="K10" s="2">
        <v>22164606</v>
      </c>
      <c r="L10" s="2">
        <f t="shared" si="2"/>
        <v>0.71711628891576051</v>
      </c>
      <c r="M10" s="2">
        <v>102804</v>
      </c>
      <c r="N10" s="2">
        <v>14052220</v>
      </c>
      <c r="O10" s="2">
        <f t="shared" si="3"/>
        <v>0.73158547190408352</v>
      </c>
      <c r="P10" s="2"/>
    </row>
    <row r="11" spans="1:16">
      <c r="A11" s="2">
        <v>2010</v>
      </c>
      <c r="B11" s="2">
        <v>1978317</v>
      </c>
      <c r="C11" s="2">
        <v>413838</v>
      </c>
      <c r="D11" s="2">
        <f t="shared" si="0"/>
        <v>4.780414075072855</v>
      </c>
      <c r="E11" s="2">
        <v>16477168</v>
      </c>
      <c r="F11" s="2">
        <v>2377001</v>
      </c>
      <c r="G11" s="2">
        <f t="shared" si="1"/>
        <v>6.9319146268764715</v>
      </c>
      <c r="H11" s="2"/>
      <c r="I11" s="2">
        <v>2010</v>
      </c>
      <c r="J11" s="2">
        <v>167235</v>
      </c>
      <c r="K11" s="2">
        <v>23456343</v>
      </c>
      <c r="L11" s="2">
        <f t="shared" si="2"/>
        <v>0.71296280072302831</v>
      </c>
      <c r="M11" s="2">
        <v>114594</v>
      </c>
      <c r="N11" s="2">
        <v>14823008</v>
      </c>
      <c r="O11" s="2">
        <f t="shared" si="3"/>
        <v>0.77308195475574182</v>
      </c>
      <c r="P11" s="2"/>
    </row>
    <row r="12" spans="1:16">
      <c r="A12" s="2">
        <v>2011</v>
      </c>
      <c r="B12" s="2">
        <v>1957561</v>
      </c>
      <c r="C12" s="2">
        <v>405396</v>
      </c>
      <c r="D12" s="2">
        <f t="shared" si="0"/>
        <v>4.8287624939565266</v>
      </c>
      <c r="E12" s="2">
        <v>17435044</v>
      </c>
      <c r="F12" s="2">
        <v>2449911</v>
      </c>
      <c r="G12" s="2">
        <f t="shared" si="1"/>
        <v>7.1166030112930629</v>
      </c>
      <c r="H12" s="2"/>
      <c r="I12" s="2">
        <v>2011</v>
      </c>
      <c r="J12" s="2">
        <v>164357</v>
      </c>
      <c r="K12" s="2">
        <v>24719338</v>
      </c>
      <c r="L12" s="2">
        <f t="shared" si="2"/>
        <v>0.66489240124472593</v>
      </c>
      <c r="M12" s="2">
        <v>131292</v>
      </c>
      <c r="N12" s="2">
        <v>15513292</v>
      </c>
      <c r="O12" s="2">
        <f t="shared" si="3"/>
        <v>0.84631940145263818</v>
      </c>
      <c r="P12" s="2"/>
    </row>
    <row r="13" spans="1:16">
      <c r="A13" s="2">
        <v>2012</v>
      </c>
      <c r="B13" s="2">
        <v>2127020</v>
      </c>
      <c r="C13" s="2">
        <v>437630</v>
      </c>
      <c r="D13" s="2">
        <f t="shared" si="0"/>
        <v>4.8603157918789845</v>
      </c>
      <c r="E13" s="2">
        <v>18664241</v>
      </c>
      <c r="F13" s="2">
        <v>2566859</v>
      </c>
      <c r="G13" s="2">
        <f t="shared" si="1"/>
        <v>7.2712373371501906</v>
      </c>
      <c r="H13" s="2"/>
      <c r="I13" s="2">
        <v>2012</v>
      </c>
      <c r="J13" s="2">
        <v>203917</v>
      </c>
      <c r="K13" s="2">
        <v>26445448</v>
      </c>
      <c r="L13" s="2">
        <f t="shared" si="2"/>
        <v>0.77108544351375707</v>
      </c>
      <c r="M13" s="2">
        <v>158916</v>
      </c>
      <c r="N13" s="2">
        <v>16438105</v>
      </c>
      <c r="O13" s="2">
        <f t="shared" si="3"/>
        <v>0.96675377119199579</v>
      </c>
      <c r="P13" s="2"/>
    </row>
    <row r="14" spans="1:16">
      <c r="A14" s="2">
        <v>2013</v>
      </c>
      <c r="B14" s="2">
        <v>2281213</v>
      </c>
      <c r="C14" s="2">
        <v>463638</v>
      </c>
      <c r="D14" s="2">
        <f t="shared" si="0"/>
        <v>4.9202459677593291</v>
      </c>
      <c r="E14" s="2">
        <v>19887462</v>
      </c>
      <c r="F14" s="2">
        <v>2623176</v>
      </c>
      <c r="G14" s="2">
        <f t="shared" si="1"/>
        <v>7.5814440205308378</v>
      </c>
      <c r="H14" s="2"/>
      <c r="I14" s="2">
        <v>2013</v>
      </c>
      <c r="J14" s="2">
        <v>208129</v>
      </c>
      <c r="K14" s="2">
        <v>28024349</v>
      </c>
      <c r="L14" s="2">
        <f t="shared" si="2"/>
        <v>0.74267202424577283</v>
      </c>
      <c r="M14" s="2">
        <v>177413</v>
      </c>
      <c r="N14" s="2">
        <v>17392453</v>
      </c>
      <c r="O14" s="2">
        <f t="shared" si="3"/>
        <v>1.0200573777603423</v>
      </c>
      <c r="P14" s="2"/>
    </row>
    <row r="15" spans="1:16">
      <c r="A15" s="2">
        <v>2014</v>
      </c>
      <c r="B15" s="2">
        <v>2295836</v>
      </c>
      <c r="C15" s="2">
        <v>456923</v>
      </c>
      <c r="D15" s="2">
        <f t="shared" si="0"/>
        <v>5.0245577482420449</v>
      </c>
      <c r="E15" s="2">
        <v>20902594</v>
      </c>
      <c r="F15" s="2">
        <v>2661901</v>
      </c>
      <c r="G15" s="2">
        <f t="shared" si="1"/>
        <v>7.8525061600713171</v>
      </c>
      <c r="H15" s="2"/>
      <c r="I15" s="2">
        <v>2014</v>
      </c>
      <c r="J15" s="2">
        <v>197429</v>
      </c>
      <c r="K15" s="2">
        <v>29357591</v>
      </c>
      <c r="L15" s="2">
        <f t="shared" si="2"/>
        <v>0.67249727676906468</v>
      </c>
      <c r="M15" s="2">
        <v>170338</v>
      </c>
      <c r="N15" s="2">
        <v>18126481</v>
      </c>
      <c r="O15" s="2">
        <f t="shared" si="3"/>
        <v>0.9397190772991183</v>
      </c>
      <c r="P15" s="2"/>
    </row>
    <row r="16" spans="1:16">
      <c r="A16" s="2">
        <v>2015</v>
      </c>
      <c r="B16" s="2">
        <v>2350782</v>
      </c>
      <c r="C16" s="2">
        <v>455029</v>
      </c>
      <c r="D16" s="2">
        <f t="shared" si="0"/>
        <v>5.1662245703021128</v>
      </c>
      <c r="E16" s="2">
        <v>21956885</v>
      </c>
      <c r="F16" s="2">
        <v>2701222</v>
      </c>
      <c r="G16" s="2">
        <f t="shared" si="1"/>
        <v>8.1285007304101633</v>
      </c>
      <c r="H16" s="2"/>
      <c r="I16" s="2">
        <v>2015</v>
      </c>
      <c r="J16" s="2">
        <v>203433</v>
      </c>
      <c r="K16" s="2">
        <v>30622735</v>
      </c>
      <c r="L16" s="2">
        <f t="shared" si="2"/>
        <v>0.66432015298437574</v>
      </c>
      <c r="M16" s="2">
        <v>190686</v>
      </c>
      <c r="N16" s="2">
        <v>18756277</v>
      </c>
      <c r="O16" s="2">
        <f t="shared" si="3"/>
        <v>1.016651652137575</v>
      </c>
      <c r="P16" s="2"/>
    </row>
    <row r="17" spans="1:16">
      <c r="A17" s="2">
        <v>2016</v>
      </c>
      <c r="B17" s="2">
        <v>2296196</v>
      </c>
      <c r="C17" s="2">
        <v>401339</v>
      </c>
      <c r="D17" s="2">
        <f t="shared" si="0"/>
        <v>5.7213378216420532</v>
      </c>
      <c r="E17" s="2">
        <v>20964868</v>
      </c>
      <c r="F17" s="2">
        <v>2447068</v>
      </c>
      <c r="G17" s="2">
        <f t="shared" si="1"/>
        <v>8.5673418147758866</v>
      </c>
      <c r="H17" s="2"/>
      <c r="I17" s="2">
        <v>2016</v>
      </c>
      <c r="J17" s="2">
        <v>175688</v>
      </c>
      <c r="K17" s="2">
        <v>28778881</v>
      </c>
      <c r="L17" s="2">
        <f t="shared" si="2"/>
        <v>0.61047543856899789</v>
      </c>
      <c r="M17" s="2">
        <v>205082</v>
      </c>
      <c r="N17" s="2">
        <v>19153079</v>
      </c>
      <c r="O17" s="2">
        <f t="shared" si="3"/>
        <v>1.07075212293543</v>
      </c>
      <c r="P17" s="2"/>
    </row>
    <row r="18" spans="1:16">
      <c r="A18" s="2">
        <v>2017</v>
      </c>
      <c r="B18" s="2">
        <v>2665160</v>
      </c>
      <c r="C18" s="2">
        <v>400033</v>
      </c>
      <c r="D18" s="2">
        <f t="shared" si="0"/>
        <v>6.6623503560956223</v>
      </c>
      <c r="E18" s="2">
        <v>21222191</v>
      </c>
      <c r="F18" s="2">
        <v>2527781</v>
      </c>
      <c r="G18" s="2">
        <f t="shared" si="1"/>
        <v>8.3955813418963121</v>
      </c>
      <c r="H18" s="2"/>
      <c r="I18" s="2">
        <v>2017</v>
      </c>
      <c r="J18" s="2">
        <v>189380</v>
      </c>
      <c r="K18" s="2">
        <v>29052930</v>
      </c>
      <c r="L18" s="2">
        <f t="shared" si="2"/>
        <v>0.65184475369609884</v>
      </c>
      <c r="M18" s="2">
        <v>240154</v>
      </c>
      <c r="N18" s="2">
        <v>20006973</v>
      </c>
      <c r="O18" s="2">
        <f t="shared" si="3"/>
        <v>1.2003514974504139</v>
      </c>
      <c r="P18" s="2"/>
    </row>
    <row r="19" spans="1:16">
      <c r="A19" s="2">
        <v>2018</v>
      </c>
      <c r="B19" s="2">
        <v>2466523</v>
      </c>
      <c r="C19" s="2">
        <v>400163</v>
      </c>
      <c r="D19" s="2">
        <f t="shared" si="0"/>
        <v>6.1637957532305583</v>
      </c>
      <c r="E19" s="2">
        <v>22109687</v>
      </c>
      <c r="F19" s="2">
        <v>2666835</v>
      </c>
      <c r="G19" s="2">
        <f t="shared" si="1"/>
        <v>8.290609280289182</v>
      </c>
      <c r="H19" s="2"/>
      <c r="I19" s="2">
        <v>2018</v>
      </c>
      <c r="J19" s="2">
        <v>213463</v>
      </c>
      <c r="K19" s="2">
        <v>29598384</v>
      </c>
      <c r="L19" s="2">
        <f t="shared" si="2"/>
        <v>0.72119815730480419</v>
      </c>
      <c r="M19" s="2">
        <v>255366</v>
      </c>
      <c r="N19" s="2">
        <v>20312206</v>
      </c>
      <c r="O19" s="2">
        <f t="shared" si="3"/>
        <v>1.2572046581252672</v>
      </c>
      <c r="P19" s="2"/>
    </row>
    <row r="20" spans="1:16">
      <c r="A20" s="2">
        <v>2019</v>
      </c>
      <c r="B20" s="2">
        <v>2503495</v>
      </c>
      <c r="C20" s="2">
        <v>376091</v>
      </c>
      <c r="D20" s="2">
        <f t="shared" si="0"/>
        <v>6.6566203392264107</v>
      </c>
      <c r="E20" s="2">
        <v>22300543</v>
      </c>
      <c r="F20" s="2">
        <v>2644726</v>
      </c>
      <c r="G20" s="2">
        <f t="shared" si="1"/>
        <v>8.4320806767884466</v>
      </c>
      <c r="H20" s="2"/>
      <c r="I20" s="2">
        <v>2019</v>
      </c>
      <c r="J20" s="2">
        <v>266405</v>
      </c>
      <c r="K20" s="2">
        <v>30137441</v>
      </c>
      <c r="L20" s="2">
        <f t="shared" si="2"/>
        <v>0.88396689022136943</v>
      </c>
      <c r="M20" s="2">
        <v>275875</v>
      </c>
      <c r="N20" s="2">
        <v>20653287</v>
      </c>
      <c r="O20" s="2">
        <f t="shared" si="3"/>
        <v>1.3357437971011588</v>
      </c>
      <c r="P20" s="2"/>
    </row>
    <row r="21" spans="1:16">
      <c r="A21" s="2">
        <v>2020</v>
      </c>
      <c r="B21" s="2">
        <v>2573803</v>
      </c>
      <c r="C21" s="2">
        <v>411484</v>
      </c>
      <c r="D21" s="2">
        <f t="shared" si="0"/>
        <v>6.2549285026878323</v>
      </c>
      <c r="E21" s="2">
        <v>22797585</v>
      </c>
      <c r="F21" s="2">
        <v>2625404</v>
      </c>
      <c r="G21" s="2">
        <f t="shared" si="1"/>
        <v>8.6834578601998018</v>
      </c>
      <c r="H21" s="2"/>
      <c r="I21" s="2">
        <v>2020</v>
      </c>
      <c r="J21" s="2">
        <v>302620</v>
      </c>
      <c r="K21" s="2">
        <v>30888912</v>
      </c>
      <c r="L21" s="2">
        <f t="shared" si="2"/>
        <v>0.97970430295505395</v>
      </c>
      <c r="M21" s="2">
        <v>325308</v>
      </c>
      <c r="N21" s="2">
        <v>21353076</v>
      </c>
      <c r="O21" s="2">
        <f t="shared" si="3"/>
        <v>1.5234713724617475</v>
      </c>
      <c r="P21" s="2"/>
    </row>
    <row r="22" spans="1:16">
      <c r="A22" s="2">
        <v>2021</v>
      </c>
      <c r="B22" s="2">
        <v>2810602</v>
      </c>
      <c r="C22" s="2">
        <v>425522</v>
      </c>
      <c r="D22" s="2">
        <f t="shared" si="0"/>
        <v>6.6050685980983355</v>
      </c>
      <c r="E22" s="2">
        <v>23507883</v>
      </c>
      <c r="F22" s="2">
        <v>2604629</v>
      </c>
      <c r="G22" s="2">
        <f t="shared" si="1"/>
        <v>9.0254247341943898</v>
      </c>
      <c r="H22" s="2"/>
      <c r="I22" s="2">
        <v>2021</v>
      </c>
      <c r="J22" s="2">
        <v>324157</v>
      </c>
      <c r="K22" s="2">
        <v>31832676</v>
      </c>
      <c r="L22" s="2">
        <f t="shared" si="2"/>
        <v>1.0183152682482617</v>
      </c>
      <c r="M22" s="2">
        <v>355751</v>
      </c>
      <c r="N22" s="2">
        <v>22111374</v>
      </c>
      <c r="O22" s="2">
        <f t="shared" si="3"/>
        <v>1.6089049916120095</v>
      </c>
      <c r="P22" s="2"/>
    </row>
    <row r="23" spans="1:1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" t="s">
        <v>14</v>
      </c>
      <c r="B26" s="2" t="s">
        <v>37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2" t="s">
        <v>2</v>
      </c>
      <c r="B27" s="2" t="s">
        <v>3</v>
      </c>
      <c r="C27" s="2" t="s">
        <v>4</v>
      </c>
      <c r="D27" s="2" t="s">
        <v>5</v>
      </c>
      <c r="E27" s="2" t="s">
        <v>6</v>
      </c>
      <c r="F27" s="2" t="s">
        <v>7</v>
      </c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2" t="s">
        <v>52</v>
      </c>
      <c r="B28" s="2">
        <v>1.0386</v>
      </c>
      <c r="C28" s="2">
        <v>1.5892999999999999</v>
      </c>
      <c r="D28" s="2">
        <v>7.0618999999999996</v>
      </c>
      <c r="E28" s="2">
        <v>8.1664999999999992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2" t="s">
        <v>53</v>
      </c>
      <c r="B29" s="2">
        <v>0.32990000000000003</v>
      </c>
      <c r="C29" s="2">
        <v>1.3845000000000001</v>
      </c>
      <c r="D29" s="2">
        <v>1.4217</v>
      </c>
      <c r="E29" s="2">
        <v>4.2948000000000004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>
      <c r="A31" s="2" t="s">
        <v>8</v>
      </c>
      <c r="B31" s="2" t="s">
        <v>3</v>
      </c>
      <c r="C31" s="2" t="s">
        <v>4</v>
      </c>
      <c r="D31" s="2" t="s">
        <v>5</v>
      </c>
      <c r="E31" s="2" t="s">
        <v>6</v>
      </c>
      <c r="F31" s="2" t="s">
        <v>7</v>
      </c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>
      <c r="A32" s="2" t="s">
        <v>52</v>
      </c>
      <c r="B32" s="2">
        <v>8.4199999999999997E-2</v>
      </c>
      <c r="C32" s="2">
        <v>0.25340000000000001</v>
      </c>
      <c r="D32" s="2">
        <v>0.74990000000000001</v>
      </c>
      <c r="E32" s="2">
        <v>1.6337999999999999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2" t="s">
        <v>53</v>
      </c>
      <c r="B33" s="2">
        <v>2.6800000000000001E-2</v>
      </c>
      <c r="C33" s="2">
        <v>0.1318</v>
      </c>
      <c r="D33" s="2">
        <v>0.151</v>
      </c>
      <c r="E33" s="2">
        <v>0.15359999999999999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2" t="s">
        <v>54</v>
      </c>
      <c r="B36" s="1" t="s">
        <v>9</v>
      </c>
      <c r="C36" s="1" t="s">
        <v>10</v>
      </c>
      <c r="D36" s="1" t="s">
        <v>11</v>
      </c>
      <c r="E36" s="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1" t="s">
        <v>52</v>
      </c>
      <c r="B37" s="1">
        <v>9.3889999999999993</v>
      </c>
      <c r="C37" s="1">
        <v>17.998000000000001</v>
      </c>
      <c r="D37" s="1">
        <v>67.960999999999999</v>
      </c>
      <c r="E37" s="1" t="s">
        <v>12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2" t="s">
        <v>53</v>
      </c>
      <c r="B38" s="2">
        <v>0.6482</v>
      </c>
      <c r="C38" s="2">
        <v>1.3469</v>
      </c>
      <c r="D38" s="2">
        <v>15.779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2" t="s">
        <v>52</v>
      </c>
      <c r="B39" s="4">
        <v>2608.335</v>
      </c>
      <c r="C39" s="2">
        <v>5000</v>
      </c>
      <c r="D39" s="4">
        <v>18879.669999999998</v>
      </c>
      <c r="E39" s="2" t="s">
        <v>13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2" t="s">
        <v>53</v>
      </c>
      <c r="B40" s="5">
        <v>180.05</v>
      </c>
      <c r="C40" s="2">
        <v>374.17</v>
      </c>
      <c r="D40" s="4">
        <v>4383.41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>
      <c r="A42" s="2" t="s">
        <v>59</v>
      </c>
      <c r="B42" s="2" t="s">
        <v>60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2" t="s">
        <v>55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>
      <c r="A44" s="2"/>
      <c r="B44" s="2" t="s">
        <v>19</v>
      </c>
      <c r="C44" s="2" t="s">
        <v>56</v>
      </c>
      <c r="D44" s="2" t="s">
        <v>17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>
      <c r="A45" s="2" t="s">
        <v>52</v>
      </c>
      <c r="B45" s="2">
        <v>6.3769999999999998</v>
      </c>
      <c r="C45" s="2">
        <v>27.347999999999999</v>
      </c>
      <c r="D45" s="2">
        <v>74.570999999999998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2" t="s">
        <v>53</v>
      </c>
      <c r="B46" s="2">
        <v>6.4320000000000004</v>
      </c>
      <c r="C46" s="2">
        <v>27.056999999999999</v>
      </c>
      <c r="D46" s="2">
        <v>3.9119999999999999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>
      <c r="A48" s="2" t="s">
        <v>57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2"/>
      <c r="B49" s="2" t="s">
        <v>19</v>
      </c>
      <c r="C49" s="2" t="s">
        <v>56</v>
      </c>
      <c r="D49" s="2" t="s">
        <v>17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2" t="s">
        <v>52</v>
      </c>
      <c r="B50" s="2">
        <v>0.873</v>
      </c>
      <c r="C50" s="2">
        <v>5.94</v>
      </c>
      <c r="D50" s="2">
        <v>11.731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2" t="s">
        <v>53</v>
      </c>
      <c r="B51" s="2">
        <v>1.204</v>
      </c>
      <c r="C51" s="2">
        <v>6.8559999999999999</v>
      </c>
      <c r="D51" s="2">
        <v>1.851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2" t="s">
        <v>58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2"/>
      <c r="B55" s="2" t="s">
        <v>19</v>
      </c>
      <c r="C55" s="2" t="s">
        <v>56</v>
      </c>
      <c r="D55" s="2" t="s">
        <v>17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>
      <c r="A56" s="2" t="s">
        <v>61</v>
      </c>
      <c r="B56" s="6">
        <v>1.3320000000000001</v>
      </c>
      <c r="C56" s="6">
        <v>31.175999999999998</v>
      </c>
      <c r="D56" s="6">
        <v>11.375999999999999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>
      <c r="A60" s="2" t="s">
        <v>81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>
      <c r="A61" s="2" t="s">
        <v>62</v>
      </c>
      <c r="B61" s="2" t="s">
        <v>63</v>
      </c>
      <c r="C61" s="2" t="s">
        <v>64</v>
      </c>
      <c r="D61" s="2"/>
      <c r="E61" s="2" t="s">
        <v>65</v>
      </c>
      <c r="F61" s="2" t="s">
        <v>66</v>
      </c>
      <c r="G61" s="2" t="s">
        <v>67</v>
      </c>
      <c r="H61" s="2"/>
      <c r="I61" s="2"/>
      <c r="J61" s="2"/>
      <c r="K61" s="2"/>
      <c r="L61" s="2"/>
      <c r="M61" s="2"/>
      <c r="N61" s="2"/>
      <c r="O61" s="2"/>
      <c r="P61" s="2"/>
    </row>
    <row r="62" spans="1:16">
      <c r="A62" s="2" t="s">
        <v>68</v>
      </c>
      <c r="B62" s="2">
        <v>4439791000</v>
      </c>
      <c r="C62" s="2">
        <v>0.56999999999999995</v>
      </c>
      <c r="D62" s="2">
        <v>7.09</v>
      </c>
      <c r="E62" s="2">
        <v>17.942527368299999</v>
      </c>
      <c r="F62" s="2" t="s">
        <v>69</v>
      </c>
      <c r="G62" s="2" t="s">
        <v>70</v>
      </c>
      <c r="H62" s="2"/>
      <c r="I62" s="2"/>
      <c r="J62" s="2"/>
      <c r="K62" s="2"/>
      <c r="L62" s="2"/>
      <c r="M62" s="2"/>
      <c r="N62" s="2"/>
      <c r="O62" s="2"/>
      <c r="P62" s="2"/>
    </row>
    <row r="63" spans="1:16">
      <c r="A63" s="2" t="s">
        <v>68</v>
      </c>
      <c r="B63" s="2">
        <v>4439791000</v>
      </c>
      <c r="C63" s="2">
        <v>0.56999999999999995</v>
      </c>
      <c r="D63" s="2">
        <v>3.87</v>
      </c>
      <c r="E63" s="2">
        <v>9.7937349668999989</v>
      </c>
      <c r="F63" s="2" t="s">
        <v>71</v>
      </c>
      <c r="G63" s="2" t="s">
        <v>70</v>
      </c>
      <c r="H63" s="2"/>
      <c r="I63" s="2"/>
      <c r="J63" s="2"/>
      <c r="K63" s="2"/>
      <c r="L63" s="2"/>
      <c r="M63" s="2"/>
      <c r="N63" s="2"/>
      <c r="O63" s="2"/>
      <c r="P63" s="2"/>
    </row>
    <row r="64" spans="1:16">
      <c r="A64" s="2" t="s">
        <v>68</v>
      </c>
      <c r="B64" s="2">
        <v>4439791000</v>
      </c>
      <c r="C64" s="2">
        <v>0.56999999999999995</v>
      </c>
      <c r="D64" s="2">
        <v>9.41</v>
      </c>
      <c r="E64" s="2">
        <v>23.813706986700002</v>
      </c>
      <c r="F64" s="2" t="s">
        <v>72</v>
      </c>
      <c r="G64" s="2" t="s">
        <v>70</v>
      </c>
      <c r="H64" s="2"/>
      <c r="I64" s="2"/>
      <c r="J64" s="2"/>
      <c r="K64" s="2"/>
      <c r="L64" s="2"/>
      <c r="M64" s="2"/>
      <c r="N64" s="2"/>
      <c r="O64" s="2"/>
      <c r="P64" s="2"/>
    </row>
    <row r="65" spans="1:16">
      <c r="A65" s="2" t="s">
        <v>68</v>
      </c>
      <c r="B65" s="2">
        <v>1766331000</v>
      </c>
      <c r="C65" s="2">
        <v>0.56999999999999995</v>
      </c>
      <c r="D65" s="2">
        <v>7.26</v>
      </c>
      <c r="E65" s="2">
        <v>7.3094309441999989</v>
      </c>
      <c r="F65" s="2" t="s">
        <v>69</v>
      </c>
      <c r="G65" s="2" t="s">
        <v>73</v>
      </c>
      <c r="H65" s="2"/>
      <c r="I65" s="2"/>
      <c r="J65" s="2"/>
      <c r="K65" s="2"/>
      <c r="L65" s="2"/>
      <c r="M65" s="2"/>
      <c r="N65" s="2"/>
      <c r="O65" s="2"/>
      <c r="P65" s="2"/>
    </row>
    <row r="66" spans="1:16">
      <c r="A66" s="2" t="s">
        <v>68</v>
      </c>
      <c r="B66" s="2">
        <v>1766331000</v>
      </c>
      <c r="C66" s="2">
        <v>0.56999999999999995</v>
      </c>
      <c r="D66" s="2">
        <v>3.08</v>
      </c>
      <c r="E66" s="2">
        <v>3.1009707035999998</v>
      </c>
      <c r="F66" s="2" t="s">
        <v>71</v>
      </c>
      <c r="G66" s="2" t="s">
        <v>73</v>
      </c>
      <c r="H66" s="2"/>
      <c r="I66" s="2"/>
      <c r="J66" s="2"/>
      <c r="K66" s="2"/>
      <c r="L66" s="2"/>
      <c r="M66" s="2"/>
      <c r="N66" s="2"/>
      <c r="O66" s="2"/>
      <c r="P66" s="2"/>
    </row>
    <row r="67" spans="1:16">
      <c r="A67" s="2" t="s">
        <v>68</v>
      </c>
      <c r="B67" s="2">
        <v>1766331000</v>
      </c>
      <c r="C67" s="2">
        <v>0.56999999999999995</v>
      </c>
      <c r="D67" s="2">
        <v>0.17</v>
      </c>
      <c r="E67" s="2">
        <v>0.1711574739</v>
      </c>
      <c r="F67" s="2" t="s">
        <v>72</v>
      </c>
      <c r="G67" s="2" t="s">
        <v>73</v>
      </c>
      <c r="H67" s="2"/>
      <c r="I67" s="2"/>
      <c r="J67" s="2"/>
      <c r="K67" s="2"/>
      <c r="L67" s="2"/>
      <c r="M67" s="2"/>
      <c r="N67" s="2"/>
      <c r="O67" s="2"/>
      <c r="P67" s="2"/>
    </row>
    <row r="68" spans="1:16">
      <c r="H68" s="2"/>
      <c r="I68" s="2"/>
      <c r="J68" s="2"/>
      <c r="K68" s="2"/>
      <c r="L68" s="2"/>
      <c r="M68" s="2"/>
      <c r="N68" s="2"/>
      <c r="O68" s="2"/>
      <c r="P68" s="2"/>
    </row>
    <row r="69" spans="1:16">
      <c r="H69" s="2"/>
      <c r="I69" s="2"/>
      <c r="J69" s="2"/>
      <c r="K69" s="2"/>
      <c r="L69" s="2"/>
      <c r="M69" s="2"/>
      <c r="N69" s="2"/>
      <c r="O69" s="2"/>
      <c r="P69" s="2"/>
    </row>
    <row r="70" spans="1:16">
      <c r="H70" s="2"/>
      <c r="I70" s="2"/>
      <c r="J70" s="2"/>
      <c r="K70" s="2"/>
      <c r="L70" s="2"/>
      <c r="M70" s="2"/>
      <c r="N70" s="2"/>
      <c r="O70" s="2"/>
      <c r="P70" s="2"/>
    </row>
    <row r="71" spans="1:16">
      <c r="A71" t="s">
        <v>82</v>
      </c>
      <c r="H71" s="2"/>
      <c r="I71" s="2"/>
      <c r="J71" s="2"/>
      <c r="K71" s="2"/>
      <c r="L71" s="2"/>
      <c r="M71" s="2"/>
      <c r="N71" s="2"/>
      <c r="O71" s="2"/>
      <c r="P71" s="2"/>
    </row>
    <row r="72" spans="1:16">
      <c r="A72" s="2" t="s">
        <v>74</v>
      </c>
      <c r="B72" s="2">
        <v>27715920000</v>
      </c>
      <c r="C72" s="2">
        <v>0.52</v>
      </c>
      <c r="D72" s="2">
        <v>5.21</v>
      </c>
      <c r="E72" s="2">
        <v>75.087970463999994</v>
      </c>
      <c r="F72" s="2" t="s">
        <v>69</v>
      </c>
      <c r="G72" s="2" t="s">
        <v>70</v>
      </c>
      <c r="H72" s="2"/>
      <c r="I72" s="2"/>
      <c r="J72" s="2"/>
      <c r="K72" s="2"/>
      <c r="L72" s="2"/>
      <c r="M72" s="2"/>
      <c r="N72" s="2"/>
      <c r="O72" s="2"/>
      <c r="P72" s="2"/>
    </row>
    <row r="73" spans="1:16">
      <c r="A73" s="2" t="s">
        <v>74</v>
      </c>
      <c r="B73" s="2">
        <v>27715920000</v>
      </c>
      <c r="C73" s="2">
        <v>0.52</v>
      </c>
      <c r="D73" s="2">
        <v>0.6</v>
      </c>
      <c r="E73" s="2">
        <v>8.6473670400000007</v>
      </c>
      <c r="F73" s="2" t="s">
        <v>71</v>
      </c>
      <c r="G73" s="2" t="s">
        <v>70</v>
      </c>
      <c r="H73" s="2"/>
      <c r="I73" s="2"/>
      <c r="J73" s="2"/>
      <c r="K73" s="2"/>
      <c r="L73" s="2"/>
      <c r="M73" s="2"/>
      <c r="N73" s="2"/>
      <c r="O73" s="2"/>
      <c r="P73" s="2"/>
    </row>
    <row r="74" spans="1:16">
      <c r="A74" s="2" t="s">
        <v>74</v>
      </c>
      <c r="B74" s="2">
        <v>27715920000</v>
      </c>
      <c r="C74" s="2">
        <v>0.52</v>
      </c>
      <c r="D74" s="2">
        <v>9.41</v>
      </c>
      <c r="E74" s="2">
        <v>135.61953974400001</v>
      </c>
      <c r="F74" s="2" t="s">
        <v>72</v>
      </c>
      <c r="G74" s="2" t="s">
        <v>70</v>
      </c>
      <c r="H74" s="2"/>
      <c r="I74" s="2"/>
      <c r="J74" s="2"/>
      <c r="K74" s="2"/>
      <c r="L74" s="2"/>
      <c r="M74" s="2"/>
      <c r="N74" s="2"/>
      <c r="O74" s="2"/>
      <c r="P74" s="2"/>
    </row>
    <row r="75" spans="1:16">
      <c r="A75" s="2" t="s">
        <v>74</v>
      </c>
      <c r="B75" s="2">
        <v>2057102000</v>
      </c>
      <c r="C75" s="2">
        <v>0.61</v>
      </c>
      <c r="D75" s="2">
        <v>6.72</v>
      </c>
      <c r="E75" s="2">
        <v>8.4324725183999991</v>
      </c>
      <c r="F75" s="2" t="s">
        <v>69</v>
      </c>
      <c r="G75" s="2" t="s">
        <v>73</v>
      </c>
      <c r="H75" s="2"/>
      <c r="I75" s="2"/>
      <c r="J75" s="2"/>
      <c r="K75" s="2"/>
      <c r="L75" s="2"/>
      <c r="M75" s="2"/>
      <c r="N75" s="2"/>
      <c r="O75" s="2"/>
      <c r="P75" s="2"/>
    </row>
    <row r="76" spans="1:16">
      <c r="A76" s="2" t="s">
        <v>74</v>
      </c>
      <c r="B76" s="2">
        <v>2057102000</v>
      </c>
      <c r="C76" s="2">
        <v>0.61</v>
      </c>
      <c r="D76" s="2">
        <v>2.1</v>
      </c>
      <c r="E76" s="2">
        <v>2.6351476620000001</v>
      </c>
      <c r="F76" s="2" t="s">
        <v>71</v>
      </c>
      <c r="G76" s="2" t="s">
        <v>73</v>
      </c>
      <c r="H76" s="2"/>
      <c r="I76" s="2"/>
      <c r="J76" s="2"/>
      <c r="K76" s="2"/>
      <c r="L76" s="2"/>
      <c r="M76" s="2"/>
      <c r="N76" s="2"/>
      <c r="O76" s="2"/>
      <c r="P76" s="2"/>
    </row>
    <row r="77" spans="1:16">
      <c r="A77" s="2" t="s">
        <v>74</v>
      </c>
      <c r="B77" s="2">
        <v>2057102000</v>
      </c>
      <c r="C77" s="2">
        <v>0.61</v>
      </c>
      <c r="D77" s="2">
        <v>0.8</v>
      </c>
      <c r="E77" s="2">
        <v>1.003865776</v>
      </c>
      <c r="F77" s="2" t="s">
        <v>72</v>
      </c>
      <c r="G77" s="2" t="s">
        <v>73</v>
      </c>
      <c r="H77" s="2"/>
      <c r="I77" s="2"/>
      <c r="J77" s="2"/>
      <c r="K77" s="2"/>
      <c r="L77" s="2"/>
      <c r="M77" s="2"/>
      <c r="N77" s="2"/>
      <c r="O77" s="2"/>
      <c r="P77" s="2"/>
    </row>
    <row r="78" spans="1: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31"/>
  <sheetViews>
    <sheetView zoomScale="157" zoomScaleNormal="157" workbookViewId="0">
      <selection activeCell="C3" sqref="C3"/>
    </sheetView>
  </sheetViews>
  <sheetFormatPr defaultRowHeight="13.8"/>
  <sheetData>
    <row r="1" spans="1:13">
      <c r="A1" t="s">
        <v>80</v>
      </c>
    </row>
    <row r="3" spans="1:13">
      <c r="A3" t="s">
        <v>32</v>
      </c>
    </row>
    <row r="4" spans="1:13">
      <c r="A4" t="s">
        <v>15</v>
      </c>
      <c r="B4" t="s">
        <v>16</v>
      </c>
      <c r="C4" t="s">
        <v>17</v>
      </c>
      <c r="D4" t="s">
        <v>11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</row>
    <row r="5" spans="1:13">
      <c r="A5">
        <v>2021</v>
      </c>
      <c r="B5">
        <v>0.33385900000000002</v>
      </c>
      <c r="C5">
        <v>0.69899599999999995</v>
      </c>
      <c r="D5">
        <v>0.75828899999999999</v>
      </c>
      <c r="E5">
        <v>0.37606499999999998</v>
      </c>
      <c r="F5">
        <v>23.2652</v>
      </c>
      <c r="G5">
        <v>6.0873499999999998</v>
      </c>
      <c r="H5">
        <v>3.9668999999999999</v>
      </c>
      <c r="I5">
        <v>3.7058</v>
      </c>
      <c r="J5">
        <v>12.037000000000001</v>
      </c>
      <c r="K5">
        <f>SUM(B5:J5)</f>
        <v>51.229458999999999</v>
      </c>
    </row>
    <row r="6" spans="1:13">
      <c r="A6">
        <v>2030</v>
      </c>
      <c r="B6">
        <v>0</v>
      </c>
      <c r="C6">
        <v>1.005829281</v>
      </c>
      <c r="D6">
        <v>1.0875790999999999</v>
      </c>
      <c r="E6">
        <v>0.63207233900000004</v>
      </c>
      <c r="F6">
        <v>28.740069999999999</v>
      </c>
      <c r="G6">
        <v>6.9745929999999996</v>
      </c>
      <c r="H6">
        <v>6.5780849999999997</v>
      </c>
      <c r="I6">
        <v>3.8145319999999998</v>
      </c>
      <c r="J6">
        <v>15.31203</v>
      </c>
      <c r="K6">
        <f>SUM(B6:J6)</f>
        <v>64.144790720000003</v>
      </c>
    </row>
    <row r="7" spans="1:13">
      <c r="A7">
        <v>2050</v>
      </c>
      <c r="B7">
        <v>0</v>
      </c>
      <c r="C7">
        <v>1.6354318000000001</v>
      </c>
      <c r="D7">
        <v>1.9198088</v>
      </c>
      <c r="E7">
        <v>1.3117190000000001</v>
      </c>
      <c r="F7">
        <v>39.22363</v>
      </c>
      <c r="G7">
        <v>8.7408889999999992</v>
      </c>
      <c r="H7">
        <v>12.777469999999999</v>
      </c>
      <c r="I7">
        <v>3.7185679999999999</v>
      </c>
      <c r="J7">
        <v>21.25102</v>
      </c>
      <c r="K7">
        <f>SUM(B7:J7)</f>
        <v>90.578536599999993</v>
      </c>
    </row>
    <row r="9" spans="1:13">
      <c r="A9" t="s">
        <v>33</v>
      </c>
    </row>
    <row r="10" spans="1:13">
      <c r="A10" t="s">
        <v>15</v>
      </c>
      <c r="B10" t="s">
        <v>16</v>
      </c>
      <c r="C10" t="s">
        <v>17</v>
      </c>
      <c r="D10" t="s">
        <v>11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L10" t="s">
        <v>30</v>
      </c>
      <c r="M10" t="s">
        <v>31</v>
      </c>
    </row>
    <row r="11" spans="1:13">
      <c r="A11">
        <v>2021</v>
      </c>
      <c r="B11">
        <v>1.0549999999999999</v>
      </c>
      <c r="C11">
        <v>2.2088000000000001</v>
      </c>
      <c r="D11">
        <v>6.5670000000000002</v>
      </c>
      <c r="E11">
        <v>1.1883999999999999</v>
      </c>
      <c r="F11">
        <v>8.6081000000000003</v>
      </c>
      <c r="G11">
        <v>2.2523</v>
      </c>
      <c r="H11">
        <v>6.7400000000000002E-2</v>
      </c>
      <c r="I11">
        <v>6.3E-2</v>
      </c>
      <c r="J11">
        <v>0.2046</v>
      </c>
      <c r="K11">
        <f>SUM(B11:J11)</f>
        <v>22.214599999999994</v>
      </c>
      <c r="L11">
        <v>2021</v>
      </c>
      <c r="M11">
        <v>222.1</v>
      </c>
    </row>
    <row r="12" spans="1:13">
      <c r="A12">
        <v>2030</v>
      </c>
      <c r="B12">
        <v>0</v>
      </c>
      <c r="C12">
        <v>3.1783999999999999</v>
      </c>
      <c r="D12">
        <v>9.4184000000000001</v>
      </c>
      <c r="E12">
        <v>1.9973000000000001</v>
      </c>
      <c r="F12">
        <v>10.633800000000001</v>
      </c>
      <c r="G12">
        <v>2.5806</v>
      </c>
      <c r="H12">
        <v>0.1118</v>
      </c>
      <c r="I12">
        <v>6.4850000000000005E-2</v>
      </c>
      <c r="J12">
        <v>0.26029999999999998</v>
      </c>
      <c r="K12">
        <f>SUM(B12:J12)</f>
        <v>28.245450000000002</v>
      </c>
      <c r="L12">
        <v>2030</v>
      </c>
      <c r="M12">
        <v>282.5</v>
      </c>
    </row>
    <row r="13" spans="1:13">
      <c r="A13">
        <v>2050</v>
      </c>
      <c r="B13">
        <v>0</v>
      </c>
      <c r="C13">
        <v>5.1680000000000001</v>
      </c>
      <c r="D13">
        <v>16.625499999999999</v>
      </c>
      <c r="E13">
        <v>4.1539999999999999</v>
      </c>
      <c r="F13">
        <v>14.512700000000001</v>
      </c>
      <c r="G13">
        <v>3.2341000000000002</v>
      </c>
      <c r="H13">
        <v>0.2172</v>
      </c>
      <c r="I13">
        <v>6.3219999999999998E-2</v>
      </c>
      <c r="J13">
        <v>0.36130000000000001</v>
      </c>
      <c r="K13">
        <f>SUM(B13:J13)</f>
        <v>44.336019999999998</v>
      </c>
      <c r="L13">
        <v>2050</v>
      </c>
      <c r="M13">
        <v>443.3</v>
      </c>
    </row>
    <row r="15" spans="1:13">
      <c r="A15" t="s">
        <v>34</v>
      </c>
    </row>
    <row r="16" spans="1:13">
      <c r="A16" t="s">
        <v>15</v>
      </c>
      <c r="B16" t="s">
        <v>16</v>
      </c>
      <c r="C16" t="s">
        <v>17</v>
      </c>
      <c r="D16" t="s">
        <v>11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 t="s">
        <v>23</v>
      </c>
    </row>
    <row r="17" spans="1:11">
      <c r="A17">
        <v>2021</v>
      </c>
      <c r="B17">
        <v>12.5174</v>
      </c>
      <c r="C17">
        <v>51.290900000000001</v>
      </c>
      <c r="D17">
        <v>4.2016999999999998</v>
      </c>
      <c r="E17">
        <v>27.594899999999999</v>
      </c>
      <c r="F17">
        <v>125.1202</v>
      </c>
      <c r="G17">
        <v>0</v>
      </c>
      <c r="H17">
        <v>20.052700000000002</v>
      </c>
      <c r="I17">
        <v>0</v>
      </c>
      <c r="J17">
        <v>0</v>
      </c>
      <c r="K17">
        <f>SUM(B17:J17)</f>
        <v>240.77780000000001</v>
      </c>
    </row>
    <row r="18" spans="1:11">
      <c r="A18">
        <v>2030</v>
      </c>
      <c r="B18">
        <v>0</v>
      </c>
      <c r="C18">
        <v>73.805700000000002</v>
      </c>
      <c r="D18">
        <v>6.0263</v>
      </c>
      <c r="E18">
        <v>46.380200000000002</v>
      </c>
      <c r="F18">
        <v>154.5641</v>
      </c>
      <c r="G18">
        <v>0</v>
      </c>
      <c r="H18">
        <v>33.252200000000002</v>
      </c>
      <c r="I18">
        <v>0</v>
      </c>
      <c r="J18">
        <v>0</v>
      </c>
      <c r="K18">
        <f>SUM(B18:J18)</f>
        <v>314.02850000000001</v>
      </c>
    </row>
    <row r="19" spans="1:11">
      <c r="A19">
        <v>2050</v>
      </c>
      <c r="B19">
        <v>0</v>
      </c>
      <c r="C19">
        <v>120.0047</v>
      </c>
      <c r="D19">
        <v>10.637700000000001</v>
      </c>
      <c r="E19">
        <v>96.251300000000001</v>
      </c>
      <c r="F19">
        <v>210.94470000000001</v>
      </c>
      <c r="G19">
        <v>0</v>
      </c>
      <c r="H19">
        <v>64.590100000000007</v>
      </c>
      <c r="I19">
        <v>0</v>
      </c>
      <c r="J19">
        <v>0</v>
      </c>
      <c r="K19">
        <f>SUM(B19:J19)</f>
        <v>502.42850000000004</v>
      </c>
    </row>
    <row r="21" spans="1:11">
      <c r="A21" t="s">
        <v>35</v>
      </c>
    </row>
    <row r="22" spans="1:11">
      <c r="A22" t="s">
        <v>15</v>
      </c>
      <c r="B22" t="s">
        <v>16</v>
      </c>
      <c r="C22" t="s">
        <v>17</v>
      </c>
      <c r="D22" t="s">
        <v>11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</row>
    <row r="23" spans="1:11">
      <c r="A23">
        <v>2021</v>
      </c>
      <c r="B23">
        <v>0.83130000000000004</v>
      </c>
      <c r="C23">
        <v>1.1184000000000001</v>
      </c>
      <c r="D23">
        <v>1.1374</v>
      </c>
      <c r="E23">
        <v>0.60170000000000001</v>
      </c>
      <c r="F23">
        <v>102.033</v>
      </c>
      <c r="G23">
        <v>10.744</v>
      </c>
      <c r="H23">
        <v>3.9669999999999997E-2</v>
      </c>
      <c r="I23">
        <v>3.7060000000000001E-3</v>
      </c>
      <c r="J23">
        <v>0</v>
      </c>
      <c r="K23">
        <f>SUM(B23:J23)</f>
        <v>116.509176</v>
      </c>
    </row>
    <row r="24" spans="1:11">
      <c r="A24">
        <v>2030</v>
      </c>
      <c r="B24">
        <v>0</v>
      </c>
      <c r="C24">
        <v>1.6093</v>
      </c>
      <c r="D24">
        <v>1.6314</v>
      </c>
      <c r="E24">
        <v>1.0113000000000001</v>
      </c>
      <c r="F24">
        <v>126.044</v>
      </c>
      <c r="G24">
        <v>12.31</v>
      </c>
      <c r="H24">
        <v>6.5780000000000005E-2</v>
      </c>
      <c r="I24">
        <v>3.8149999999999998E-3</v>
      </c>
      <c r="J24">
        <v>0</v>
      </c>
      <c r="K24">
        <f>SUM(B24:J24)</f>
        <v>142.67559499999999</v>
      </c>
    </row>
    <row r="25" spans="1:11">
      <c r="A25">
        <v>2050</v>
      </c>
      <c r="B25">
        <v>0</v>
      </c>
      <c r="C25">
        <v>2.6166999999999998</v>
      </c>
      <c r="D25">
        <v>2.8797000000000001</v>
      </c>
      <c r="E25">
        <v>2.0988000000000002</v>
      </c>
      <c r="F25">
        <v>172.02099999999999</v>
      </c>
      <c r="G25">
        <v>15.428000000000001</v>
      </c>
      <c r="H25">
        <v>0.1278</v>
      </c>
      <c r="I25">
        <v>3.7190000000000001E-3</v>
      </c>
      <c r="J25">
        <v>0</v>
      </c>
      <c r="K25">
        <f>SUM(B25:J25)</f>
        <v>195.17571899999999</v>
      </c>
    </row>
    <row r="27" spans="1:11">
      <c r="A27" t="s">
        <v>36</v>
      </c>
    </row>
    <row r="28" spans="1:11">
      <c r="A28" t="s">
        <v>15</v>
      </c>
      <c r="B28" t="s">
        <v>16</v>
      </c>
      <c r="C28" t="s">
        <v>17</v>
      </c>
      <c r="D28" t="s">
        <v>11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23</v>
      </c>
    </row>
    <row r="29" spans="1:11">
      <c r="A29">
        <v>2021</v>
      </c>
      <c r="B29">
        <v>0</v>
      </c>
      <c r="C29">
        <v>0</v>
      </c>
      <c r="D29">
        <v>8.7959999999999997E-2</v>
      </c>
      <c r="E29">
        <v>0</v>
      </c>
      <c r="F29">
        <v>3.0710000000000002</v>
      </c>
      <c r="G29">
        <v>1.08355</v>
      </c>
      <c r="H29">
        <v>3.967E-3</v>
      </c>
      <c r="I29">
        <v>3.7060000000000001E-3</v>
      </c>
      <c r="J29">
        <v>0</v>
      </c>
      <c r="K29">
        <f>SUM(B29:J29)</f>
        <v>4.2501830000000007</v>
      </c>
    </row>
    <row r="30" spans="1:11">
      <c r="A30">
        <v>2030</v>
      </c>
      <c r="B30">
        <v>0</v>
      </c>
      <c r="C30">
        <v>0</v>
      </c>
      <c r="D30">
        <v>0.12615999999999999</v>
      </c>
      <c r="E30">
        <v>0</v>
      </c>
      <c r="F30">
        <v>3.7936999999999999</v>
      </c>
      <c r="G30">
        <v>1.2415</v>
      </c>
      <c r="H30">
        <v>6.5779999999999996E-3</v>
      </c>
      <c r="I30">
        <v>3.8149999999999998E-3</v>
      </c>
      <c r="J30">
        <v>0</v>
      </c>
      <c r="K30">
        <f>SUM(B30:J30)</f>
        <v>5.1717530000000007</v>
      </c>
    </row>
    <row r="31" spans="1:11">
      <c r="A31">
        <v>2050</v>
      </c>
      <c r="B31">
        <v>0</v>
      </c>
      <c r="C31">
        <v>0</v>
      </c>
      <c r="D31">
        <v>0.22270000000000001</v>
      </c>
      <c r="E31">
        <v>0</v>
      </c>
      <c r="F31">
        <v>5.1775000000000002</v>
      </c>
      <c r="G31">
        <v>1.5559000000000001</v>
      </c>
      <c r="H31">
        <v>1.278E-2</v>
      </c>
      <c r="I31">
        <v>3.7190000000000001E-3</v>
      </c>
      <c r="J31">
        <v>0</v>
      </c>
      <c r="K31">
        <f>SUM(B31:J31)</f>
        <v>6.9725990000000007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32"/>
  <sheetViews>
    <sheetView workbookViewId="0"/>
  </sheetViews>
  <sheetFormatPr defaultRowHeight="13.8"/>
  <cols>
    <col min="1" max="1" width="25.44140625" customWidth="1"/>
    <col min="3" max="3" width="14" customWidth="1"/>
    <col min="4" max="4" width="19.109375" customWidth="1"/>
  </cols>
  <sheetData>
    <row r="1" spans="1:5">
      <c r="A1" s="1" t="s">
        <v>79</v>
      </c>
      <c r="B1" s="1"/>
      <c r="C1" s="1"/>
      <c r="D1" s="1"/>
      <c r="E1" s="1"/>
    </row>
    <row r="2" spans="1:5">
      <c r="A2" s="1" t="s">
        <v>27</v>
      </c>
      <c r="B2" s="1"/>
      <c r="C2" s="1"/>
      <c r="D2" s="1"/>
      <c r="E2" s="1"/>
    </row>
    <row r="3" spans="1:5">
      <c r="A3" s="1"/>
      <c r="B3" s="1">
        <v>2021</v>
      </c>
      <c r="C3" s="1">
        <v>2030</v>
      </c>
      <c r="D3" s="1">
        <v>2050</v>
      </c>
      <c r="E3" s="1"/>
    </row>
    <row r="4" spans="1:5">
      <c r="A4" s="1" t="s">
        <v>26</v>
      </c>
      <c r="B4" s="1">
        <v>51.23</v>
      </c>
      <c r="C4" s="1">
        <v>64.144499999999994</v>
      </c>
      <c r="D4" s="1">
        <v>90.58</v>
      </c>
      <c r="E4" s="1"/>
    </row>
    <row r="5" spans="1:5">
      <c r="A5" s="1" t="s">
        <v>28</v>
      </c>
      <c r="B5" s="1">
        <v>51.23</v>
      </c>
      <c r="C5" s="1">
        <v>64.144800000000004</v>
      </c>
      <c r="D5" s="1">
        <v>90.78</v>
      </c>
      <c r="E5" s="1"/>
    </row>
    <row r="6" spans="1:5">
      <c r="A6" s="1"/>
      <c r="B6" s="1"/>
      <c r="C6" s="1"/>
      <c r="D6" s="1"/>
      <c r="E6" s="1"/>
    </row>
    <row r="7" spans="1:5" ht="16.2">
      <c r="A7" s="1" t="s">
        <v>75</v>
      </c>
      <c r="B7" s="1"/>
      <c r="C7" s="1"/>
      <c r="D7" s="1"/>
      <c r="E7" s="1"/>
    </row>
    <row r="8" spans="1:5">
      <c r="A8" s="1"/>
      <c r="B8" s="1">
        <v>2021</v>
      </c>
      <c r="C8" s="1">
        <v>2030</v>
      </c>
      <c r="D8" s="1">
        <v>2050</v>
      </c>
      <c r="E8" s="1"/>
    </row>
    <row r="9" spans="1:5">
      <c r="A9" s="1" t="s">
        <v>26</v>
      </c>
      <c r="B9" s="1">
        <v>2.274</v>
      </c>
      <c r="C9" s="1">
        <v>2.2240000000000002</v>
      </c>
      <c r="D9" s="1">
        <v>2.1549999999999998</v>
      </c>
      <c r="E9" s="1"/>
    </row>
    <row r="10" spans="1:5">
      <c r="A10" s="1" t="s">
        <v>29</v>
      </c>
      <c r="B10" s="1">
        <v>2.274</v>
      </c>
      <c r="C10" s="1">
        <v>2.5750000000000002</v>
      </c>
      <c r="D10" s="1">
        <v>1.964</v>
      </c>
      <c r="E10" s="1"/>
    </row>
    <row r="11" spans="1:5">
      <c r="A11" s="1"/>
      <c r="B11" s="1"/>
      <c r="C11" s="1"/>
      <c r="D11" s="1"/>
      <c r="E11" s="1"/>
    </row>
    <row r="12" spans="1:5" ht="16.2">
      <c r="A12" s="1" t="s">
        <v>76</v>
      </c>
      <c r="B12" s="1"/>
      <c r="C12" s="1"/>
      <c r="D12" s="1"/>
      <c r="E12" s="1"/>
    </row>
    <row r="13" spans="1:5">
      <c r="A13" s="1"/>
      <c r="B13" s="1">
        <v>2021</v>
      </c>
      <c r="C13" s="1">
        <v>2030</v>
      </c>
      <c r="D13" s="1">
        <v>2050</v>
      </c>
      <c r="E13" s="1"/>
    </row>
    <row r="14" spans="1:5">
      <c r="A14" s="1" t="s">
        <v>26</v>
      </c>
      <c r="B14" s="1">
        <v>8.2960000000000006E-2</v>
      </c>
      <c r="C14" s="1">
        <v>8.0629999999999993E-2</v>
      </c>
      <c r="D14" s="1">
        <v>7.6980000000000007E-2</v>
      </c>
      <c r="E14" s="1"/>
    </row>
    <row r="15" spans="1:5">
      <c r="A15" s="1" t="s">
        <v>29</v>
      </c>
      <c r="B15" s="1">
        <v>8.2960000000000006E-2</v>
      </c>
      <c r="C15" s="1">
        <v>8.0629999999999993E-2</v>
      </c>
      <c r="D15" s="1">
        <v>7.1499999999999994E-2</v>
      </c>
      <c r="E15" s="1"/>
    </row>
    <row r="16" spans="1:5">
      <c r="A16" s="1"/>
      <c r="B16" s="1"/>
      <c r="C16" s="1"/>
      <c r="D16" s="1"/>
      <c r="E16" s="1"/>
    </row>
    <row r="17" spans="1:5">
      <c r="A17" s="1" t="s">
        <v>25</v>
      </c>
      <c r="B17" s="1"/>
      <c r="C17" s="1"/>
      <c r="D17" s="1"/>
      <c r="E17" s="1"/>
    </row>
    <row r="18" spans="1:5">
      <c r="A18" s="1"/>
      <c r="B18" s="1">
        <v>2021</v>
      </c>
      <c r="C18" s="1">
        <v>2030</v>
      </c>
      <c r="D18" s="1">
        <v>2050</v>
      </c>
      <c r="E18" s="1"/>
    </row>
    <row r="19" spans="1:5">
      <c r="A19" s="1" t="s">
        <v>26</v>
      </c>
      <c r="B19" s="1">
        <v>0.43359999999999999</v>
      </c>
      <c r="C19" s="1">
        <v>0.44035000000000002</v>
      </c>
      <c r="D19" s="1">
        <v>0.4894</v>
      </c>
      <c r="E19" s="1"/>
    </row>
    <row r="20" spans="1:5">
      <c r="A20" s="1" t="s">
        <v>29</v>
      </c>
      <c r="B20" s="1">
        <v>0.43359999999999999</v>
      </c>
      <c r="C20" s="1">
        <v>0.44035000000000002</v>
      </c>
      <c r="D20" s="1">
        <v>0.48110000000000003</v>
      </c>
      <c r="E20" s="1"/>
    </row>
    <row r="21" spans="1:5">
      <c r="A21" s="1"/>
      <c r="B21" s="1"/>
      <c r="C21" s="1"/>
      <c r="D21" s="1"/>
      <c r="E21" s="1"/>
    </row>
    <row r="22" spans="1:5">
      <c r="A22" s="1" t="s">
        <v>24</v>
      </c>
      <c r="B22" s="1"/>
      <c r="C22" s="1"/>
      <c r="D22" s="1"/>
      <c r="E22" s="1"/>
    </row>
    <row r="23" spans="1:5">
      <c r="A23" s="1"/>
      <c r="B23" s="1">
        <v>2021</v>
      </c>
      <c r="C23" s="1">
        <v>2030</v>
      </c>
      <c r="D23" s="1">
        <v>2050</v>
      </c>
      <c r="E23" s="1"/>
    </row>
    <row r="24" spans="1:5">
      <c r="A24" s="1" t="s">
        <v>26</v>
      </c>
      <c r="B24" s="1">
        <v>4.7</v>
      </c>
      <c r="C24" s="1">
        <v>4.8956</v>
      </c>
      <c r="D24" s="1">
        <v>5.5469999999999997</v>
      </c>
      <c r="E24" s="1"/>
    </row>
    <row r="25" spans="1:5">
      <c r="A25" s="1" t="s">
        <v>29</v>
      </c>
      <c r="B25" s="1">
        <v>4.7</v>
      </c>
      <c r="C25" s="1">
        <v>4.8956</v>
      </c>
      <c r="D25" s="1">
        <v>5.165</v>
      </c>
      <c r="E25" s="1"/>
    </row>
    <row r="26" spans="1:5">
      <c r="A26" s="1"/>
      <c r="B26" s="1"/>
      <c r="C26" s="1"/>
      <c r="D26" s="1"/>
      <c r="E26" s="1"/>
    </row>
    <row r="27" spans="1:5" ht="16.2">
      <c r="A27" s="1" t="s">
        <v>77</v>
      </c>
      <c r="B27" s="1"/>
      <c r="C27" s="1"/>
      <c r="D27" s="1"/>
      <c r="E27" s="1"/>
    </row>
    <row r="28" spans="1:5">
      <c r="A28" s="1"/>
      <c r="B28" s="1">
        <v>2021</v>
      </c>
      <c r="C28" s="1">
        <v>2030</v>
      </c>
      <c r="D28" s="1">
        <v>2050</v>
      </c>
      <c r="E28" s="1"/>
    </row>
    <row r="29" spans="1:5">
      <c r="A29" s="1" t="s">
        <v>26</v>
      </c>
      <c r="B29" s="1">
        <v>17.770499999999998</v>
      </c>
      <c r="C29" s="1">
        <v>20.3</v>
      </c>
      <c r="D29" s="1">
        <v>19.100000000000001</v>
      </c>
      <c r="E29" s="1"/>
    </row>
    <row r="30" spans="1:5">
      <c r="A30" s="1" t="s">
        <v>29</v>
      </c>
      <c r="B30" s="1">
        <v>17.770499999999998</v>
      </c>
      <c r="C30" s="1">
        <v>20.334800000000001</v>
      </c>
      <c r="D30" s="1">
        <v>18.780899999999999</v>
      </c>
      <c r="E30" s="1"/>
    </row>
    <row r="31" spans="1:5">
      <c r="A31" s="1"/>
      <c r="B31" s="1"/>
      <c r="C31" s="1"/>
      <c r="D31" s="1"/>
      <c r="E31" s="1"/>
    </row>
    <row r="32" spans="1:5">
      <c r="A32" s="1"/>
      <c r="B32" s="1"/>
      <c r="C32" s="1"/>
      <c r="D32" s="1"/>
      <c r="E32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Fig.1</vt:lpstr>
      <vt:lpstr>Fig.3</vt:lpstr>
      <vt:lpstr>Fig.4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dongsl@ouc.edu.cn</dc:creator>
  <cp:lastModifiedBy>hp</cp:lastModifiedBy>
  <dcterms:created xsi:type="dcterms:W3CDTF">2023-10-17T01:22:26Z</dcterms:created>
  <dcterms:modified xsi:type="dcterms:W3CDTF">2024-12-20T18:55:33Z</dcterms:modified>
</cp:coreProperties>
</file>