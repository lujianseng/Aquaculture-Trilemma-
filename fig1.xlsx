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1f24e3e6f5436d/Desktop/"/>
    </mc:Choice>
  </mc:AlternateContent>
  <xr:revisionPtr revIDLastSave="0" documentId="8_{35A28DB7-0429-4423-8F18-BE7BC12226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g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L22" i="1"/>
  <c r="G22" i="1"/>
  <c r="D22" i="1"/>
  <c r="O21" i="1"/>
  <c r="L21" i="1"/>
  <c r="G21" i="1"/>
  <c r="D21" i="1"/>
  <c r="O20" i="1"/>
  <c r="L20" i="1"/>
  <c r="G20" i="1"/>
  <c r="D20" i="1"/>
  <c r="O19" i="1"/>
  <c r="L19" i="1"/>
  <c r="G19" i="1"/>
  <c r="D19" i="1"/>
  <c r="O18" i="1"/>
  <c r="L18" i="1"/>
  <c r="G18" i="1"/>
  <c r="D18" i="1"/>
  <c r="O17" i="1"/>
  <c r="L17" i="1"/>
  <c r="G17" i="1"/>
  <c r="D17" i="1"/>
  <c r="O16" i="1"/>
  <c r="L16" i="1"/>
  <c r="G16" i="1"/>
  <c r="D16" i="1"/>
  <c r="O15" i="1"/>
  <c r="L15" i="1"/>
  <c r="G15" i="1"/>
  <c r="D15" i="1"/>
  <c r="O14" i="1"/>
  <c r="L14" i="1"/>
  <c r="G14" i="1"/>
  <c r="D14" i="1"/>
  <c r="O13" i="1"/>
  <c r="L13" i="1"/>
  <c r="G13" i="1"/>
  <c r="D13" i="1"/>
  <c r="O12" i="1"/>
  <c r="L12" i="1"/>
  <c r="G12" i="1"/>
  <c r="D12" i="1"/>
  <c r="O11" i="1"/>
  <c r="L11" i="1"/>
  <c r="G11" i="1"/>
  <c r="D11" i="1"/>
  <c r="O10" i="1"/>
  <c r="L10" i="1"/>
  <c r="G10" i="1"/>
  <c r="D10" i="1"/>
  <c r="O9" i="1"/>
  <c r="L9" i="1"/>
  <c r="G9" i="1"/>
  <c r="D9" i="1"/>
  <c r="O8" i="1"/>
  <c r="L8" i="1"/>
  <c r="F8" i="1"/>
  <c r="E8" i="1"/>
  <c r="G8" i="1" s="1"/>
  <c r="C8" i="1"/>
  <c r="B8" i="1"/>
  <c r="D8" i="1" s="1"/>
  <c r="O7" i="1"/>
  <c r="L7" i="1"/>
  <c r="G7" i="1"/>
  <c r="D7" i="1"/>
  <c r="O6" i="1"/>
  <c r="L6" i="1"/>
  <c r="G6" i="1"/>
  <c r="D6" i="1"/>
  <c r="O5" i="1"/>
  <c r="L5" i="1"/>
  <c r="G5" i="1"/>
  <c r="D5" i="1"/>
  <c r="O4" i="1"/>
  <c r="L4" i="1"/>
  <c r="G4" i="1"/>
  <c r="D4" i="1"/>
</calcChain>
</file>

<file path=xl/sharedStrings.xml><?xml version="1.0" encoding="utf-8"?>
<sst xmlns="http://schemas.openxmlformats.org/spreadsheetml/2006/main" count="115" uniqueCount="62">
  <si>
    <t>Figure 1A</t>
    <phoneticPr fontId="1" type="noConversion"/>
  </si>
  <si>
    <t>Figure 1B</t>
    <phoneticPr fontId="1" type="noConversion"/>
  </si>
  <si>
    <t>TN</t>
    <phoneticPr fontId="1" type="noConversion"/>
  </si>
  <si>
    <t>FP</t>
    <phoneticPr fontId="1" type="noConversion"/>
  </si>
  <si>
    <t>SP</t>
    <phoneticPr fontId="1" type="noConversion"/>
  </si>
  <si>
    <t>FRAS</t>
    <phoneticPr fontId="1" type="noConversion"/>
  </si>
  <si>
    <t>SRAS</t>
    <phoneticPr fontId="1" type="noConversion"/>
  </si>
  <si>
    <t>g/kg</t>
    <phoneticPr fontId="1" type="noConversion"/>
  </si>
  <si>
    <t>TP</t>
    <phoneticPr fontId="1" type="noConversion"/>
  </si>
  <si>
    <t>Semi-intensive</t>
    <phoneticPr fontId="1" type="noConversion"/>
  </si>
  <si>
    <t>Intensive</t>
    <phoneticPr fontId="1" type="noConversion"/>
  </si>
  <si>
    <t>RAS</t>
    <phoneticPr fontId="1" type="noConversion"/>
  </si>
  <si>
    <t>MJ/kg</t>
    <phoneticPr fontId="1" type="noConversion"/>
  </si>
  <si>
    <t>kwh/t</t>
  </si>
  <si>
    <t>FEN</t>
    <phoneticPr fontId="1" type="noConversion"/>
  </si>
  <si>
    <t>shrimp</t>
    <phoneticPr fontId="1" type="noConversion"/>
  </si>
  <si>
    <t>RAS ratios %</t>
    <phoneticPr fontId="1" type="noConversion"/>
  </si>
  <si>
    <t>Year</t>
    <phoneticPr fontId="1" type="noConversion"/>
  </si>
  <si>
    <t>area</t>
    <phoneticPr fontId="1" type="noConversion"/>
  </si>
  <si>
    <t>pond productivity t/ha</t>
    <phoneticPr fontId="1" type="noConversion"/>
  </si>
  <si>
    <t>productivity</t>
    <phoneticPr fontId="1" type="noConversion"/>
  </si>
  <si>
    <t>Mariculture production</t>
    <phoneticPr fontId="1" type="noConversion"/>
  </si>
  <si>
    <t>year</t>
    <phoneticPr fontId="1" type="noConversion"/>
  </si>
  <si>
    <t>Inland production</t>
    <phoneticPr fontId="1" type="noConversion"/>
  </si>
  <si>
    <t>Inland RAS production t</t>
    <phoneticPr fontId="1" type="noConversion"/>
  </si>
  <si>
    <t>ratio</t>
    <phoneticPr fontId="1" type="noConversion"/>
  </si>
  <si>
    <t>Mariculture RAS production t</t>
    <phoneticPr fontId="1" type="noConversion"/>
  </si>
  <si>
    <t>Inland total production</t>
    <phoneticPr fontId="1" type="noConversion"/>
  </si>
  <si>
    <t>mariculture total production</t>
    <phoneticPr fontId="1" type="noConversion"/>
  </si>
  <si>
    <t>ratio</t>
    <phoneticPr fontId="1" type="noConversion"/>
  </si>
  <si>
    <t>Mean</t>
  </si>
  <si>
    <t>SD</t>
  </si>
  <si>
    <t>Energy</t>
    <phoneticPr fontId="1" type="noConversion"/>
  </si>
  <si>
    <t>Fig. 1G    TN g/kg</t>
    <phoneticPr fontId="1" type="noConversion"/>
  </si>
  <si>
    <t>Tanks</t>
    <phoneticPr fontId="1" type="noConversion"/>
  </si>
  <si>
    <t>Fig. 1H     TP g/kg</t>
    <phoneticPr fontId="1" type="noConversion"/>
  </si>
  <si>
    <t>Fig. 1F    Energy consumption MJ/kg</t>
    <phoneticPr fontId="1" type="noConversion"/>
  </si>
  <si>
    <t>Fig. 1F-1H</t>
    <phoneticPr fontId="1" type="noConversion"/>
  </si>
  <si>
    <t>fish</t>
    <phoneticPr fontId="1" type="noConversion"/>
  </si>
  <si>
    <t>Mean</t>
    <phoneticPr fontId="1" type="noConversion"/>
  </si>
  <si>
    <t>species</t>
  </si>
  <si>
    <t>prduction</t>
  </si>
  <si>
    <t>edible portion</t>
  </si>
  <si>
    <t>GHG_total (MtCO2e)</t>
  </si>
  <si>
    <t>GHG_sectors</t>
  </si>
  <si>
    <t>field</t>
  </si>
  <si>
    <t>shrimp</t>
  </si>
  <si>
    <t>feed</t>
  </si>
  <si>
    <t>freshwater</t>
  </si>
  <si>
    <t>energy</t>
  </si>
  <si>
    <t>aquatic</t>
  </si>
  <si>
    <t>mariculture</t>
  </si>
  <si>
    <t>fish</t>
  </si>
  <si>
    <t>Fig1</t>
    <phoneticPr fontId="1" type="noConversion"/>
  </si>
  <si>
    <t>Fig1.I</t>
    <phoneticPr fontId="1" type="noConversion"/>
  </si>
  <si>
    <t>Fig1.J</t>
    <phoneticPr fontId="1" type="noConversion"/>
  </si>
  <si>
    <t>Fig. 1C-1E</t>
    <phoneticPr fontId="1" type="noConversion"/>
  </si>
  <si>
    <t>Fig. 1C</t>
    <phoneticPr fontId="1" type="noConversion"/>
  </si>
  <si>
    <t>Fig. 1D</t>
    <phoneticPr fontId="1" type="noConversion"/>
  </si>
  <si>
    <t>Fig. 1E</t>
    <phoneticPr fontId="1" type="noConversion"/>
  </si>
  <si>
    <t>Ponds</t>
    <phoneticPr fontId="1" type="noConversion"/>
  </si>
  <si>
    <t>Sea net cages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</si>
</sst>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宋体"/>
      <family val="3"/>
      <charset val="134"/>
    </font>
    <font>
      <sz val="10.5"/>
      <name val="Times New Roman"/>
      <family val="1"/>
    </font>
    <font>
      <sz val="11"/>
      <name val="Times New Roman"/>
      <family val="1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1"/>
  <sheetViews>
    <sheetView tabSelected="1" topLeftCell="A3" zoomScaleNormal="100" workbookViewId="0">
      <selection activeCell="G57" sqref="G57"/>
    </sheetView>
  </sheetViews>
  <sheetFormatPr defaultRowHeight="13.8" x14ac:dyDescent="0.25"/>
  <cols>
    <col min="1" max="1" width="9" bestFit="1" customWidth="1"/>
    <col min="2" max="2" width="16.5546875" customWidth="1"/>
    <col min="3" max="4" width="9" bestFit="1" customWidth="1"/>
    <col min="5" max="5" width="21.21875" customWidth="1"/>
    <col min="6" max="7" width="9" bestFit="1" customWidth="1"/>
    <col min="9" max="9" width="9" bestFit="1" customWidth="1"/>
    <col min="10" max="10" width="15.77734375" customWidth="1"/>
    <col min="11" max="11" width="9.5546875" bestFit="1" customWidth="1"/>
    <col min="12" max="12" width="14.5546875" customWidth="1"/>
    <col min="13" max="13" width="12.5546875" customWidth="1"/>
    <col min="14" max="14" width="12.21875" customWidth="1"/>
    <col min="15" max="15" width="15" customWidth="1"/>
  </cols>
  <sheetData>
    <row r="1" spans="1:16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 t="s">
        <v>0</v>
      </c>
      <c r="B2" s="2" t="s">
        <v>19</v>
      </c>
      <c r="C2" s="2"/>
      <c r="D2" s="2"/>
      <c r="E2" s="2"/>
      <c r="F2" s="2"/>
      <c r="G2" s="2"/>
      <c r="H2" s="2"/>
      <c r="I2" s="2" t="s">
        <v>1</v>
      </c>
      <c r="J2" s="2" t="s">
        <v>16</v>
      </c>
      <c r="K2" s="2"/>
      <c r="L2" s="2"/>
      <c r="M2" s="2"/>
      <c r="N2" s="2"/>
      <c r="O2" s="2"/>
      <c r="P2" s="2"/>
    </row>
    <row r="3" spans="1:16" ht="14.4" x14ac:dyDescent="0.25">
      <c r="A3" s="2" t="s">
        <v>17</v>
      </c>
      <c r="B3" s="2" t="s">
        <v>21</v>
      </c>
      <c r="C3" s="2" t="s">
        <v>18</v>
      </c>
      <c r="D3" s="3" t="s">
        <v>20</v>
      </c>
      <c r="E3" s="2" t="s">
        <v>23</v>
      </c>
      <c r="F3" s="2" t="s">
        <v>18</v>
      </c>
      <c r="G3" s="3" t="s">
        <v>20</v>
      </c>
      <c r="H3" s="2"/>
      <c r="I3" s="2" t="s">
        <v>22</v>
      </c>
      <c r="J3" s="2" t="s">
        <v>24</v>
      </c>
      <c r="K3" s="2" t="s">
        <v>27</v>
      </c>
      <c r="L3" s="3" t="s">
        <v>25</v>
      </c>
      <c r="M3" s="2" t="s">
        <v>26</v>
      </c>
      <c r="N3" s="2" t="s">
        <v>28</v>
      </c>
      <c r="O3" s="3" t="s">
        <v>29</v>
      </c>
      <c r="P3" s="2"/>
    </row>
    <row r="4" spans="1:16" x14ac:dyDescent="0.25">
      <c r="A4" s="2">
        <v>2003</v>
      </c>
      <c r="B4" s="2">
        <v>1123705</v>
      </c>
      <c r="C4" s="2">
        <v>265513</v>
      </c>
      <c r="D4" s="2">
        <f t="shared" ref="D4:D22" si="0">B4/C4</f>
        <v>4.232203319611469</v>
      </c>
      <c r="E4" s="2">
        <v>12515093</v>
      </c>
      <c r="F4" s="2">
        <v>2398740</v>
      </c>
      <c r="G4" s="2">
        <f t="shared" ref="G4:G22" si="1">E4/F4</f>
        <v>5.2173611979622638</v>
      </c>
      <c r="H4" s="2"/>
      <c r="I4" s="2">
        <v>2003</v>
      </c>
      <c r="J4" s="2">
        <v>82307</v>
      </c>
      <c r="K4" s="2">
        <v>17742734</v>
      </c>
      <c r="L4" s="2">
        <f t="shared" ref="L4:L22" si="2">J4/K4*100</f>
        <v>0.46389130333577677</v>
      </c>
      <c r="M4" s="2">
        <v>36863</v>
      </c>
      <c r="N4" s="2">
        <v>12533061</v>
      </c>
      <c r="O4" s="2">
        <f t="shared" ref="O4:O22" si="3">M4/N4*100</f>
        <v>0.29412607183512474</v>
      </c>
      <c r="P4" s="2"/>
    </row>
    <row r="5" spans="1:16" x14ac:dyDescent="0.25">
      <c r="A5" s="2">
        <v>2004</v>
      </c>
      <c r="B5" s="2">
        <v>1206032</v>
      </c>
      <c r="C5" s="2">
        <v>294119</v>
      </c>
      <c r="D5" s="2">
        <f t="shared" si="0"/>
        <v>4.1004899377462865</v>
      </c>
      <c r="E5" s="2">
        <v>13312418</v>
      </c>
      <c r="F5" s="2">
        <v>2429479</v>
      </c>
      <c r="G5" s="2">
        <f t="shared" si="1"/>
        <v>5.4795361474620687</v>
      </c>
      <c r="H5" s="2"/>
      <c r="I5" s="2">
        <v>2004</v>
      </c>
      <c r="J5" s="2">
        <v>93091</v>
      </c>
      <c r="K5" s="2">
        <v>18919972</v>
      </c>
      <c r="L5" s="2">
        <f t="shared" si="2"/>
        <v>0.49202504105185774</v>
      </c>
      <c r="M5" s="2">
        <v>51109</v>
      </c>
      <c r="N5" s="2">
        <v>13167049</v>
      </c>
      <c r="O5" s="2">
        <f t="shared" si="3"/>
        <v>0.38815834892085538</v>
      </c>
      <c r="P5" s="2"/>
    </row>
    <row r="6" spans="1:16" x14ac:dyDescent="0.25">
      <c r="A6" s="2">
        <v>2005</v>
      </c>
      <c r="B6" s="2">
        <v>1259134</v>
      </c>
      <c r="C6" s="2">
        <v>298534</v>
      </c>
      <c r="D6" s="2">
        <f t="shared" si="0"/>
        <v>4.2177239443413477</v>
      </c>
      <c r="E6" s="2">
        <v>14099666</v>
      </c>
      <c r="F6" s="2">
        <v>2495361</v>
      </c>
      <c r="G6" s="2">
        <f t="shared" si="1"/>
        <v>5.6503511916712652</v>
      </c>
      <c r="H6" s="2"/>
      <c r="I6" s="2">
        <v>2005</v>
      </c>
      <c r="J6" s="2">
        <v>124915</v>
      </c>
      <c r="K6" s="2">
        <v>20084654</v>
      </c>
      <c r="L6" s="2">
        <f t="shared" si="2"/>
        <v>0.62194250396347384</v>
      </c>
      <c r="M6" s="2">
        <v>78122</v>
      </c>
      <c r="N6" s="2">
        <v>13847847</v>
      </c>
      <c r="O6" s="2">
        <f t="shared" si="3"/>
        <v>0.56414545885725054</v>
      </c>
      <c r="P6" s="2"/>
    </row>
    <row r="7" spans="1:16" x14ac:dyDescent="0.25">
      <c r="A7" s="2">
        <v>2006</v>
      </c>
      <c r="B7" s="2">
        <v>1503097</v>
      </c>
      <c r="C7" s="2">
        <v>307844</v>
      </c>
      <c r="D7" s="2">
        <f t="shared" si="0"/>
        <v>4.8826580995569184</v>
      </c>
      <c r="E7" s="2">
        <v>14945131</v>
      </c>
      <c r="F7" s="2">
        <v>2531048</v>
      </c>
      <c r="G7" s="2">
        <f t="shared" si="1"/>
        <v>5.9047204952256926</v>
      </c>
      <c r="H7" s="2"/>
      <c r="I7" s="2">
        <v>2006</v>
      </c>
      <c r="J7" s="2">
        <v>125717</v>
      </c>
      <c r="K7" s="2">
        <v>21483105</v>
      </c>
      <c r="L7" s="2">
        <f t="shared" si="2"/>
        <v>0.58519008309087539</v>
      </c>
      <c r="M7" s="2">
        <v>85718</v>
      </c>
      <c r="N7" s="2">
        <v>14456399</v>
      </c>
      <c r="O7" s="2">
        <f t="shared" si="3"/>
        <v>0.59294157556110616</v>
      </c>
      <c r="P7" s="2"/>
    </row>
    <row r="8" spans="1:16" x14ac:dyDescent="0.25">
      <c r="A8" s="2">
        <v>2007</v>
      </c>
      <c r="B8" s="2">
        <f>(B7+B9)/2</f>
        <v>1458659</v>
      </c>
      <c r="C8" s="2">
        <f>(C7+C9)/2</f>
        <v>329336.5</v>
      </c>
      <c r="D8" s="2">
        <f t="shared" si="0"/>
        <v>4.4290839308731345</v>
      </c>
      <c r="E8" s="2">
        <f>(E7+E9)/2</f>
        <v>14769801.5</v>
      </c>
      <c r="F8" s="2">
        <f>(F7+F9)/2</f>
        <v>2337881.5</v>
      </c>
      <c r="G8" s="2">
        <f t="shared" si="1"/>
        <v>6.31760057128644</v>
      </c>
      <c r="H8" s="2"/>
      <c r="I8" s="2">
        <v>2007</v>
      </c>
      <c r="J8" s="2">
        <v>134459</v>
      </c>
      <c r="K8" s="2">
        <v>19709906</v>
      </c>
      <c r="L8" s="2">
        <f t="shared" si="2"/>
        <v>0.68218996072330329</v>
      </c>
      <c r="M8" s="2">
        <v>87362</v>
      </c>
      <c r="N8" s="2">
        <v>13073400</v>
      </c>
      <c r="O8" s="2">
        <f t="shared" si="3"/>
        <v>0.66824238530145186</v>
      </c>
      <c r="P8" s="2"/>
    </row>
    <row r="9" spans="1:16" x14ac:dyDescent="0.25">
      <c r="A9" s="2">
        <v>2008</v>
      </c>
      <c r="B9" s="2">
        <v>1414221</v>
      </c>
      <c r="C9" s="2">
        <v>350829</v>
      </c>
      <c r="D9" s="2">
        <f t="shared" si="0"/>
        <v>4.0310835193213785</v>
      </c>
      <c r="E9" s="2">
        <v>14594472</v>
      </c>
      <c r="F9" s="2">
        <v>2144715</v>
      </c>
      <c r="G9" s="2">
        <f t="shared" si="1"/>
        <v>6.8048537917625422</v>
      </c>
      <c r="H9" s="2"/>
      <c r="I9" s="2">
        <v>2008</v>
      </c>
      <c r="J9" s="2">
        <v>133680</v>
      </c>
      <c r="K9" s="2">
        <v>20724977</v>
      </c>
      <c r="L9" s="2">
        <f t="shared" si="2"/>
        <v>0.64501880991231009</v>
      </c>
      <c r="M9" s="2">
        <v>83250</v>
      </c>
      <c r="N9" s="2">
        <v>13403236</v>
      </c>
      <c r="O9" s="2">
        <f t="shared" si="3"/>
        <v>0.62111866119495318</v>
      </c>
      <c r="P9" s="2"/>
    </row>
    <row r="10" spans="1:16" x14ac:dyDescent="0.25">
      <c r="A10" s="2">
        <v>2009</v>
      </c>
      <c r="B10" s="2">
        <v>1852906</v>
      </c>
      <c r="C10" s="2">
        <v>416383</v>
      </c>
      <c r="D10" s="2">
        <f t="shared" si="0"/>
        <v>4.4500039626978047</v>
      </c>
      <c r="E10" s="2">
        <v>15488542</v>
      </c>
      <c r="F10" s="2">
        <v>2331900</v>
      </c>
      <c r="G10" s="2">
        <f t="shared" si="1"/>
        <v>6.642026673528024</v>
      </c>
      <c r="H10" s="2"/>
      <c r="I10" s="2">
        <v>2009</v>
      </c>
      <c r="J10" s="2">
        <v>158946</v>
      </c>
      <c r="K10" s="2">
        <v>22164606</v>
      </c>
      <c r="L10" s="2">
        <f t="shared" si="2"/>
        <v>0.71711628891576051</v>
      </c>
      <c r="M10" s="2">
        <v>102804</v>
      </c>
      <c r="N10" s="2">
        <v>14052220</v>
      </c>
      <c r="O10" s="2">
        <f t="shared" si="3"/>
        <v>0.73158547190408352</v>
      </c>
      <c r="P10" s="2"/>
    </row>
    <row r="11" spans="1:16" x14ac:dyDescent="0.25">
      <c r="A11" s="2">
        <v>2010</v>
      </c>
      <c r="B11" s="2">
        <v>1978317</v>
      </c>
      <c r="C11" s="2">
        <v>413838</v>
      </c>
      <c r="D11" s="2">
        <f t="shared" si="0"/>
        <v>4.780414075072855</v>
      </c>
      <c r="E11" s="2">
        <v>16477168</v>
      </c>
      <c r="F11" s="2">
        <v>2377001</v>
      </c>
      <c r="G11" s="2">
        <f t="shared" si="1"/>
        <v>6.9319146268764715</v>
      </c>
      <c r="H11" s="2"/>
      <c r="I11" s="2">
        <v>2010</v>
      </c>
      <c r="J11" s="2">
        <v>167235</v>
      </c>
      <c r="K11" s="2">
        <v>23456343</v>
      </c>
      <c r="L11" s="2">
        <f t="shared" si="2"/>
        <v>0.71296280072302831</v>
      </c>
      <c r="M11" s="2">
        <v>114594</v>
      </c>
      <c r="N11" s="2">
        <v>14823008</v>
      </c>
      <c r="O11" s="2">
        <f t="shared" si="3"/>
        <v>0.77308195475574182</v>
      </c>
      <c r="P11" s="2"/>
    </row>
    <row r="12" spans="1:16" x14ac:dyDescent="0.25">
      <c r="A12" s="2">
        <v>2011</v>
      </c>
      <c r="B12" s="2">
        <v>1957561</v>
      </c>
      <c r="C12" s="2">
        <v>405396</v>
      </c>
      <c r="D12" s="2">
        <f t="shared" si="0"/>
        <v>4.8287624939565266</v>
      </c>
      <c r="E12" s="2">
        <v>17435044</v>
      </c>
      <c r="F12" s="2">
        <v>2449911</v>
      </c>
      <c r="G12" s="2">
        <f t="shared" si="1"/>
        <v>7.1166030112930629</v>
      </c>
      <c r="H12" s="2"/>
      <c r="I12" s="2">
        <v>2011</v>
      </c>
      <c r="J12" s="2">
        <v>164357</v>
      </c>
      <c r="K12" s="2">
        <v>24719338</v>
      </c>
      <c r="L12" s="2">
        <f t="shared" si="2"/>
        <v>0.66489240124472593</v>
      </c>
      <c r="M12" s="2">
        <v>131292</v>
      </c>
      <c r="N12" s="2">
        <v>15513292</v>
      </c>
      <c r="O12" s="2">
        <f t="shared" si="3"/>
        <v>0.84631940145263818</v>
      </c>
      <c r="P12" s="2"/>
    </row>
    <row r="13" spans="1:16" x14ac:dyDescent="0.25">
      <c r="A13" s="2">
        <v>2012</v>
      </c>
      <c r="B13" s="2">
        <v>2127020</v>
      </c>
      <c r="C13" s="2">
        <v>437630</v>
      </c>
      <c r="D13" s="2">
        <f t="shared" si="0"/>
        <v>4.8603157918789845</v>
      </c>
      <c r="E13" s="2">
        <v>18664241</v>
      </c>
      <c r="F13" s="2">
        <v>2566859</v>
      </c>
      <c r="G13" s="2">
        <f t="shared" si="1"/>
        <v>7.2712373371501906</v>
      </c>
      <c r="H13" s="2"/>
      <c r="I13" s="2">
        <v>2012</v>
      </c>
      <c r="J13" s="2">
        <v>203917</v>
      </c>
      <c r="K13" s="2">
        <v>26445448</v>
      </c>
      <c r="L13" s="2">
        <f t="shared" si="2"/>
        <v>0.77108544351375707</v>
      </c>
      <c r="M13" s="2">
        <v>158916</v>
      </c>
      <c r="N13" s="2">
        <v>16438105</v>
      </c>
      <c r="O13" s="2">
        <f t="shared" si="3"/>
        <v>0.96675377119199579</v>
      </c>
      <c r="P13" s="2"/>
    </row>
    <row r="14" spans="1:16" x14ac:dyDescent="0.25">
      <c r="A14" s="2">
        <v>2013</v>
      </c>
      <c r="B14" s="2">
        <v>2281213</v>
      </c>
      <c r="C14" s="2">
        <v>463638</v>
      </c>
      <c r="D14" s="2">
        <f t="shared" si="0"/>
        <v>4.9202459677593291</v>
      </c>
      <c r="E14" s="2">
        <v>19887462</v>
      </c>
      <c r="F14" s="2">
        <v>2623176</v>
      </c>
      <c r="G14" s="2">
        <f t="shared" si="1"/>
        <v>7.5814440205308378</v>
      </c>
      <c r="H14" s="2"/>
      <c r="I14" s="2">
        <v>2013</v>
      </c>
      <c r="J14" s="2">
        <v>208129</v>
      </c>
      <c r="K14" s="2">
        <v>28024349</v>
      </c>
      <c r="L14" s="2">
        <f t="shared" si="2"/>
        <v>0.74267202424577283</v>
      </c>
      <c r="M14" s="2">
        <v>177413</v>
      </c>
      <c r="N14" s="2">
        <v>17392453</v>
      </c>
      <c r="O14" s="2">
        <f t="shared" si="3"/>
        <v>1.0200573777603423</v>
      </c>
      <c r="P14" s="2"/>
    </row>
    <row r="15" spans="1:16" x14ac:dyDescent="0.25">
      <c r="A15" s="2">
        <v>2014</v>
      </c>
      <c r="B15" s="2">
        <v>2295836</v>
      </c>
      <c r="C15" s="2">
        <v>456923</v>
      </c>
      <c r="D15" s="2">
        <f t="shared" si="0"/>
        <v>5.0245577482420449</v>
      </c>
      <c r="E15" s="2">
        <v>20902594</v>
      </c>
      <c r="F15" s="2">
        <v>2661901</v>
      </c>
      <c r="G15" s="2">
        <f t="shared" si="1"/>
        <v>7.8525061600713171</v>
      </c>
      <c r="H15" s="2"/>
      <c r="I15" s="2">
        <v>2014</v>
      </c>
      <c r="J15" s="2">
        <v>197429</v>
      </c>
      <c r="K15" s="2">
        <v>29357591</v>
      </c>
      <c r="L15" s="2">
        <f t="shared" si="2"/>
        <v>0.67249727676906468</v>
      </c>
      <c r="M15" s="2">
        <v>170338</v>
      </c>
      <c r="N15" s="2">
        <v>18126481</v>
      </c>
      <c r="O15" s="2">
        <f t="shared" si="3"/>
        <v>0.9397190772991183</v>
      </c>
      <c r="P15" s="2"/>
    </row>
    <row r="16" spans="1:16" x14ac:dyDescent="0.25">
      <c r="A16" s="2">
        <v>2015</v>
      </c>
      <c r="B16" s="2">
        <v>2350782</v>
      </c>
      <c r="C16" s="2">
        <v>455029</v>
      </c>
      <c r="D16" s="2">
        <f t="shared" si="0"/>
        <v>5.1662245703021128</v>
      </c>
      <c r="E16" s="2">
        <v>21956885</v>
      </c>
      <c r="F16" s="2">
        <v>2701222</v>
      </c>
      <c r="G16" s="2">
        <f t="shared" si="1"/>
        <v>8.1285007304101633</v>
      </c>
      <c r="H16" s="2"/>
      <c r="I16" s="2">
        <v>2015</v>
      </c>
      <c r="J16" s="2">
        <v>203433</v>
      </c>
      <c r="K16" s="2">
        <v>30622735</v>
      </c>
      <c r="L16" s="2">
        <f t="shared" si="2"/>
        <v>0.66432015298437574</v>
      </c>
      <c r="M16" s="2">
        <v>190686</v>
      </c>
      <c r="N16" s="2">
        <v>18756277</v>
      </c>
      <c r="O16" s="2">
        <f t="shared" si="3"/>
        <v>1.016651652137575</v>
      </c>
      <c r="P16" s="2"/>
    </row>
    <row r="17" spans="1:16" x14ac:dyDescent="0.25">
      <c r="A17" s="2">
        <v>2016</v>
      </c>
      <c r="B17" s="2">
        <v>2296196</v>
      </c>
      <c r="C17" s="2">
        <v>401339</v>
      </c>
      <c r="D17" s="2">
        <f t="shared" si="0"/>
        <v>5.7213378216420532</v>
      </c>
      <c r="E17" s="2">
        <v>20964868</v>
      </c>
      <c r="F17" s="2">
        <v>2447068</v>
      </c>
      <c r="G17" s="2">
        <f t="shared" si="1"/>
        <v>8.5673418147758866</v>
      </c>
      <c r="H17" s="2"/>
      <c r="I17" s="2">
        <v>2016</v>
      </c>
      <c r="J17" s="2">
        <v>175688</v>
      </c>
      <c r="K17" s="2">
        <v>28778881</v>
      </c>
      <c r="L17" s="2">
        <f t="shared" si="2"/>
        <v>0.61047543856899789</v>
      </c>
      <c r="M17" s="2">
        <v>205082</v>
      </c>
      <c r="N17" s="2">
        <v>19153079</v>
      </c>
      <c r="O17" s="2">
        <f t="shared" si="3"/>
        <v>1.07075212293543</v>
      </c>
      <c r="P17" s="2"/>
    </row>
    <row r="18" spans="1:16" x14ac:dyDescent="0.25">
      <c r="A18" s="2">
        <v>2017</v>
      </c>
      <c r="B18" s="2">
        <v>2665160</v>
      </c>
      <c r="C18" s="2">
        <v>400033</v>
      </c>
      <c r="D18" s="2">
        <f t="shared" si="0"/>
        <v>6.6623503560956223</v>
      </c>
      <c r="E18" s="2">
        <v>21222191</v>
      </c>
      <c r="F18" s="2">
        <v>2527781</v>
      </c>
      <c r="G18" s="2">
        <f t="shared" si="1"/>
        <v>8.3955813418963121</v>
      </c>
      <c r="H18" s="2"/>
      <c r="I18" s="2">
        <v>2017</v>
      </c>
      <c r="J18" s="2">
        <v>189380</v>
      </c>
      <c r="K18" s="2">
        <v>29052930</v>
      </c>
      <c r="L18" s="2">
        <f t="shared" si="2"/>
        <v>0.65184475369609884</v>
      </c>
      <c r="M18" s="2">
        <v>240154</v>
      </c>
      <c r="N18" s="2">
        <v>20006973</v>
      </c>
      <c r="O18" s="2">
        <f t="shared" si="3"/>
        <v>1.2003514974504139</v>
      </c>
      <c r="P18" s="2"/>
    </row>
    <row r="19" spans="1:16" x14ac:dyDescent="0.25">
      <c r="A19" s="2">
        <v>2018</v>
      </c>
      <c r="B19" s="2">
        <v>2466523</v>
      </c>
      <c r="C19" s="2">
        <v>400163</v>
      </c>
      <c r="D19" s="2">
        <f t="shared" si="0"/>
        <v>6.1637957532305583</v>
      </c>
      <c r="E19" s="2">
        <v>22109687</v>
      </c>
      <c r="F19" s="2">
        <v>2666835</v>
      </c>
      <c r="G19" s="2">
        <f t="shared" si="1"/>
        <v>8.290609280289182</v>
      </c>
      <c r="H19" s="2"/>
      <c r="I19" s="2">
        <v>2018</v>
      </c>
      <c r="J19" s="2">
        <v>213463</v>
      </c>
      <c r="K19" s="2">
        <v>29598384</v>
      </c>
      <c r="L19" s="2">
        <f t="shared" si="2"/>
        <v>0.72119815730480419</v>
      </c>
      <c r="M19" s="2">
        <v>255366</v>
      </c>
      <c r="N19" s="2">
        <v>20312206</v>
      </c>
      <c r="O19" s="2">
        <f t="shared" si="3"/>
        <v>1.2572046581252672</v>
      </c>
      <c r="P19" s="2"/>
    </row>
    <row r="20" spans="1:16" x14ac:dyDescent="0.25">
      <c r="A20" s="2">
        <v>2019</v>
      </c>
      <c r="B20" s="2">
        <v>2503495</v>
      </c>
      <c r="C20" s="2">
        <v>376091</v>
      </c>
      <c r="D20" s="2">
        <f t="shared" si="0"/>
        <v>6.6566203392264107</v>
      </c>
      <c r="E20" s="2">
        <v>22300543</v>
      </c>
      <c r="F20" s="2">
        <v>2644726</v>
      </c>
      <c r="G20" s="2">
        <f t="shared" si="1"/>
        <v>8.4320806767884466</v>
      </c>
      <c r="H20" s="2"/>
      <c r="I20" s="2">
        <v>2019</v>
      </c>
      <c r="J20" s="2">
        <v>266405</v>
      </c>
      <c r="K20" s="2">
        <v>30137441</v>
      </c>
      <c r="L20" s="2">
        <f t="shared" si="2"/>
        <v>0.88396689022136943</v>
      </c>
      <c r="M20" s="2">
        <v>275875</v>
      </c>
      <c r="N20" s="2">
        <v>20653287</v>
      </c>
      <c r="O20" s="2">
        <f t="shared" si="3"/>
        <v>1.3357437971011588</v>
      </c>
      <c r="P20" s="2"/>
    </row>
    <row r="21" spans="1:16" x14ac:dyDescent="0.25">
      <c r="A21" s="2">
        <v>2020</v>
      </c>
      <c r="B21" s="2">
        <v>2573803</v>
      </c>
      <c r="C21" s="2">
        <v>411484</v>
      </c>
      <c r="D21" s="2">
        <f t="shared" si="0"/>
        <v>6.2549285026878323</v>
      </c>
      <c r="E21" s="2">
        <v>22797585</v>
      </c>
      <c r="F21" s="2">
        <v>2625404</v>
      </c>
      <c r="G21" s="2">
        <f t="shared" si="1"/>
        <v>8.6834578601998018</v>
      </c>
      <c r="H21" s="2"/>
      <c r="I21" s="2">
        <v>2020</v>
      </c>
      <c r="J21" s="2">
        <v>302620</v>
      </c>
      <c r="K21" s="2">
        <v>30888912</v>
      </c>
      <c r="L21" s="2">
        <f t="shared" si="2"/>
        <v>0.97970430295505395</v>
      </c>
      <c r="M21" s="2">
        <v>325308</v>
      </c>
      <c r="N21" s="2">
        <v>21353076</v>
      </c>
      <c r="O21" s="2">
        <f t="shared" si="3"/>
        <v>1.5234713724617475</v>
      </c>
      <c r="P21" s="2"/>
    </row>
    <row r="22" spans="1:16" x14ac:dyDescent="0.25">
      <c r="A22" s="2">
        <v>2021</v>
      </c>
      <c r="B22" s="2">
        <v>2810602</v>
      </c>
      <c r="C22" s="2">
        <v>425522</v>
      </c>
      <c r="D22" s="2">
        <f t="shared" si="0"/>
        <v>6.6050685980983355</v>
      </c>
      <c r="E22" s="2">
        <v>23507883</v>
      </c>
      <c r="F22" s="2">
        <v>2604629</v>
      </c>
      <c r="G22" s="2">
        <f t="shared" si="1"/>
        <v>9.0254247341943898</v>
      </c>
      <c r="H22" s="2"/>
      <c r="I22" s="2">
        <v>2021</v>
      </c>
      <c r="J22" s="2">
        <v>324157</v>
      </c>
      <c r="K22" s="2">
        <v>31832676</v>
      </c>
      <c r="L22" s="2">
        <f t="shared" si="2"/>
        <v>1.0183152682482617</v>
      </c>
      <c r="M22" s="2">
        <v>355751</v>
      </c>
      <c r="N22" s="2">
        <v>22111374</v>
      </c>
      <c r="O22" s="2">
        <f t="shared" si="3"/>
        <v>1.6089049916120095</v>
      </c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 t="s">
        <v>56</v>
      </c>
      <c r="B25" s="2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 t="s">
        <v>57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 t="s">
        <v>2</v>
      </c>
      <c r="B28" s="2" t="s">
        <v>3</v>
      </c>
      <c r="C28" s="2" t="s">
        <v>4</v>
      </c>
      <c r="D28" s="2" t="s">
        <v>5</v>
      </c>
      <c r="E28" s="2" t="s">
        <v>6</v>
      </c>
      <c r="F28" s="2" t="s">
        <v>7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 t="s">
        <v>30</v>
      </c>
      <c r="B29" s="2">
        <v>1.0386</v>
      </c>
      <c r="C29" s="2">
        <v>1.5892999999999999</v>
      </c>
      <c r="D29" s="2">
        <v>7.0618999999999996</v>
      </c>
      <c r="E29" s="2">
        <v>8.1664999999999992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 t="s">
        <v>31</v>
      </c>
      <c r="B30" s="2">
        <v>0.32990000000000003</v>
      </c>
      <c r="C30" s="2">
        <v>1.3845000000000001</v>
      </c>
      <c r="D30" s="2">
        <v>1.4217</v>
      </c>
      <c r="E30" s="2">
        <v>4.2948000000000004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 t="s">
        <v>58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 t="s">
        <v>8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 t="s">
        <v>30</v>
      </c>
      <c r="B34" s="2">
        <v>8.4199999999999997E-2</v>
      </c>
      <c r="C34" s="2">
        <v>0.25340000000000001</v>
      </c>
      <c r="D34" s="2">
        <v>0.74990000000000001</v>
      </c>
      <c r="E34" s="2">
        <v>1.6337999999999999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 t="s">
        <v>31</v>
      </c>
      <c r="B35" s="2">
        <v>2.6800000000000001E-2</v>
      </c>
      <c r="C35" s="2">
        <v>0.1318</v>
      </c>
      <c r="D35" s="2">
        <v>0.151</v>
      </c>
      <c r="E35" s="2">
        <v>0.15359999999999999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 t="s">
        <v>59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 t="s">
        <v>32</v>
      </c>
      <c r="B38" s="1" t="s">
        <v>9</v>
      </c>
      <c r="C38" s="1" t="s">
        <v>10</v>
      </c>
      <c r="D38" s="1" t="s">
        <v>11</v>
      </c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1" t="s">
        <v>30</v>
      </c>
      <c r="B39" s="1">
        <v>9.3889999999999993</v>
      </c>
      <c r="C39" s="1">
        <v>17.998000000000001</v>
      </c>
      <c r="D39" s="1">
        <v>67.960999999999999</v>
      </c>
      <c r="E39" s="1" t="s">
        <v>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 t="s">
        <v>31</v>
      </c>
      <c r="B40" s="2">
        <v>0.6482</v>
      </c>
      <c r="C40" s="2">
        <v>1.3469</v>
      </c>
      <c r="D40" s="2">
        <v>15.779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 t="s">
        <v>30</v>
      </c>
      <c r="B41" s="4">
        <v>2608.335</v>
      </c>
      <c r="C41" s="2">
        <v>5000</v>
      </c>
      <c r="D41" s="4">
        <v>18879.669999999998</v>
      </c>
      <c r="E41" s="2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 t="s">
        <v>31</v>
      </c>
      <c r="B42" s="5">
        <v>180.05</v>
      </c>
      <c r="C42" s="2">
        <v>374.17</v>
      </c>
      <c r="D42" s="4">
        <v>4383.41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 t="s">
        <v>37</v>
      </c>
      <c r="B44" s="2" t="s">
        <v>38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 t="s">
        <v>36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 t="s">
        <v>60</v>
      </c>
      <c r="C47" s="2" t="s">
        <v>34</v>
      </c>
      <c r="D47" s="2" t="s">
        <v>61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 t="s">
        <v>39</v>
      </c>
      <c r="B48" s="6">
        <v>1.3320000000000001</v>
      </c>
      <c r="C48" s="6">
        <v>31.175999999999998</v>
      </c>
      <c r="D48" s="6">
        <v>11.375999999999999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 t="s">
        <v>33</v>
      </c>
      <c r="B50" s="2"/>
      <c r="C50" s="2"/>
      <c r="D50" s="2"/>
      <c r="E50" s="2"/>
      <c r="F50" s="2"/>
      <c r="K50" s="2"/>
      <c r="L50" s="2"/>
      <c r="M50" s="2"/>
      <c r="N50" s="2"/>
      <c r="O50" s="2"/>
      <c r="P50" s="2"/>
    </row>
    <row r="51" spans="1:16" x14ac:dyDescent="0.25">
      <c r="A51" s="2"/>
      <c r="B51" s="2" t="s">
        <v>60</v>
      </c>
      <c r="C51" s="2" t="s">
        <v>34</v>
      </c>
      <c r="D51" s="2" t="s">
        <v>14</v>
      </c>
      <c r="E51" s="2"/>
      <c r="F51" s="2"/>
      <c r="K51" s="2"/>
      <c r="L51" s="2"/>
      <c r="M51" s="2"/>
      <c r="N51" s="2"/>
      <c r="O51" s="2"/>
      <c r="P51" s="2"/>
    </row>
    <row r="52" spans="1:16" x14ac:dyDescent="0.25">
      <c r="A52" s="2" t="s">
        <v>30</v>
      </c>
      <c r="B52" s="2">
        <v>6.3769999999999998</v>
      </c>
      <c r="C52" s="2">
        <v>27.347999999999999</v>
      </c>
      <c r="D52" s="2" t="s">
        <v>61</v>
      </c>
      <c r="E52" s="2"/>
      <c r="F52" s="2"/>
      <c r="K52" s="2"/>
      <c r="L52" s="2"/>
      <c r="M52" s="2"/>
      <c r="N52" s="2"/>
      <c r="O52" s="2"/>
      <c r="P52" s="2"/>
    </row>
    <row r="53" spans="1:16" x14ac:dyDescent="0.25">
      <c r="A53" s="2" t="s">
        <v>31</v>
      </c>
      <c r="B53" s="2">
        <v>6.4320000000000004</v>
      </c>
      <c r="C53" s="2">
        <v>27.056999999999999</v>
      </c>
      <c r="D53" s="2">
        <v>3.9119999999999999</v>
      </c>
      <c r="E53" s="2"/>
      <c r="F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K54" s="2"/>
      <c r="L54" s="2"/>
      <c r="M54" s="2"/>
      <c r="N54" s="2"/>
      <c r="O54" s="2"/>
      <c r="P54" s="2"/>
    </row>
    <row r="55" spans="1:16" x14ac:dyDescent="0.25">
      <c r="A55" s="2" t="s">
        <v>35</v>
      </c>
      <c r="B55" s="2"/>
      <c r="C55" s="2"/>
      <c r="D55" s="2"/>
      <c r="E55" s="2"/>
      <c r="F55" s="2"/>
      <c r="K55" s="2"/>
      <c r="L55" s="2"/>
      <c r="M55" s="2"/>
      <c r="N55" s="2"/>
      <c r="O55" s="2"/>
      <c r="P55" s="2"/>
    </row>
    <row r="56" spans="1:16" x14ac:dyDescent="0.25">
      <c r="A56" s="2"/>
      <c r="B56" s="2" t="s">
        <v>60</v>
      </c>
      <c r="C56" s="2" t="s">
        <v>34</v>
      </c>
      <c r="D56" s="2" t="s">
        <v>14</v>
      </c>
      <c r="E56" s="2"/>
      <c r="F56" s="2"/>
      <c r="K56" s="2"/>
      <c r="L56" s="2"/>
      <c r="M56" s="2"/>
      <c r="N56" s="2"/>
      <c r="O56" s="2"/>
      <c r="P56" s="2"/>
    </row>
    <row r="57" spans="1:16" x14ac:dyDescent="0.25">
      <c r="A57" s="2" t="s">
        <v>30</v>
      </c>
      <c r="B57" s="2">
        <v>0.873</v>
      </c>
      <c r="C57" s="2">
        <v>5.94</v>
      </c>
      <c r="D57" s="2" t="s">
        <v>61</v>
      </c>
      <c r="E57" s="2"/>
      <c r="F57" s="2"/>
      <c r="K57" s="2"/>
      <c r="L57" s="2"/>
      <c r="M57" s="2"/>
      <c r="N57" s="2"/>
      <c r="O57" s="2"/>
      <c r="P57" s="2"/>
    </row>
    <row r="58" spans="1:16" x14ac:dyDescent="0.25">
      <c r="A58" s="2" t="s">
        <v>31</v>
      </c>
      <c r="B58" s="2">
        <v>1.204</v>
      </c>
      <c r="C58" s="2">
        <v>6.8559999999999999</v>
      </c>
      <c r="D58" s="2">
        <v>1.851</v>
      </c>
      <c r="E58" s="2"/>
      <c r="F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 t="s">
        <v>54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 t="s">
        <v>40</v>
      </c>
      <c r="B63" s="2" t="s">
        <v>41</v>
      </c>
      <c r="C63" s="2" t="s">
        <v>42</v>
      </c>
      <c r="D63" s="2"/>
      <c r="E63" s="2" t="s">
        <v>43</v>
      </c>
      <c r="F63" s="2" t="s">
        <v>44</v>
      </c>
      <c r="G63" s="2" t="s">
        <v>45</v>
      </c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 t="s">
        <v>46</v>
      </c>
      <c r="B64" s="2">
        <v>4439791000</v>
      </c>
      <c r="C64" s="2">
        <v>0.56999999999999995</v>
      </c>
      <c r="D64" s="2">
        <v>7.09</v>
      </c>
      <c r="E64" s="2">
        <v>17.942527368299999</v>
      </c>
      <c r="F64" s="2" t="s">
        <v>47</v>
      </c>
      <c r="G64" s="2" t="s">
        <v>48</v>
      </c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 t="s">
        <v>46</v>
      </c>
      <c r="B65" s="2">
        <v>4439791000</v>
      </c>
      <c r="C65" s="2">
        <v>0.56999999999999995</v>
      </c>
      <c r="D65" s="2">
        <v>3.87</v>
      </c>
      <c r="E65" s="2">
        <v>9.7937349668999989</v>
      </c>
      <c r="F65" s="2" t="s">
        <v>49</v>
      </c>
      <c r="G65" s="2" t="s">
        <v>48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 t="s">
        <v>46</v>
      </c>
      <c r="B66" s="2">
        <v>4439791000</v>
      </c>
      <c r="C66" s="2">
        <v>0.56999999999999995</v>
      </c>
      <c r="D66" s="2">
        <v>9.41</v>
      </c>
      <c r="E66" s="2">
        <v>23.813706986700002</v>
      </c>
      <c r="F66" s="2" t="s">
        <v>50</v>
      </c>
      <c r="G66" s="2" t="s">
        <v>48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 t="s">
        <v>46</v>
      </c>
      <c r="B67" s="2">
        <v>1766331000</v>
      </c>
      <c r="C67" s="2">
        <v>0.56999999999999995</v>
      </c>
      <c r="D67" s="2">
        <v>7.26</v>
      </c>
      <c r="E67" s="2">
        <v>7.3094309441999989</v>
      </c>
      <c r="F67" s="2" t="s">
        <v>47</v>
      </c>
      <c r="G67" s="2" t="s">
        <v>51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 t="s">
        <v>46</v>
      </c>
      <c r="B68" s="2">
        <v>1766331000</v>
      </c>
      <c r="C68" s="2">
        <v>0.56999999999999995</v>
      </c>
      <c r="D68" s="2">
        <v>3.08</v>
      </c>
      <c r="E68" s="2">
        <v>3.1009707035999998</v>
      </c>
      <c r="F68" s="2" t="s">
        <v>49</v>
      </c>
      <c r="G68" s="2" t="s">
        <v>51</v>
      </c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 t="s">
        <v>46</v>
      </c>
      <c r="B69" s="2">
        <v>1766331000</v>
      </c>
      <c r="C69" s="2">
        <v>0.56999999999999995</v>
      </c>
      <c r="D69" s="2">
        <v>0.17</v>
      </c>
      <c r="E69" s="2">
        <v>0.1711574739</v>
      </c>
      <c r="F69" s="2" t="s">
        <v>50</v>
      </c>
      <c r="G69" s="2" t="s">
        <v>51</v>
      </c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t="s">
        <v>55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 t="s">
        <v>52</v>
      </c>
      <c r="B74" s="2">
        <v>27715920000</v>
      </c>
      <c r="C74" s="2">
        <v>0.52</v>
      </c>
      <c r="D74" s="2">
        <v>5.21</v>
      </c>
      <c r="E74" s="2">
        <v>75.087970463999994</v>
      </c>
      <c r="F74" s="2" t="s">
        <v>47</v>
      </c>
      <c r="G74" s="2" t="s">
        <v>48</v>
      </c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 t="s">
        <v>52</v>
      </c>
      <c r="B75" s="2">
        <v>27715920000</v>
      </c>
      <c r="C75" s="2">
        <v>0.52</v>
      </c>
      <c r="D75" s="2">
        <v>0.6</v>
      </c>
      <c r="E75" s="2">
        <v>8.6473670400000007</v>
      </c>
      <c r="F75" s="2" t="s">
        <v>49</v>
      </c>
      <c r="G75" s="2" t="s">
        <v>48</v>
      </c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 t="s">
        <v>52</v>
      </c>
      <c r="B76" s="2">
        <v>27715920000</v>
      </c>
      <c r="C76" s="2">
        <v>0.52</v>
      </c>
      <c r="D76" s="2">
        <v>9.41</v>
      </c>
      <c r="E76" s="2">
        <v>135.61953974400001</v>
      </c>
      <c r="F76" s="2" t="s">
        <v>50</v>
      </c>
      <c r="G76" s="2" t="s">
        <v>48</v>
      </c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 t="s">
        <v>52</v>
      </c>
      <c r="B77" s="2">
        <v>2057102000</v>
      </c>
      <c r="C77" s="2">
        <v>0.61</v>
      </c>
      <c r="D77" s="2">
        <v>6.72</v>
      </c>
      <c r="E77" s="2">
        <v>8.4324725183999991</v>
      </c>
      <c r="F77" s="2" t="s">
        <v>47</v>
      </c>
      <c r="G77" s="2" t="s">
        <v>51</v>
      </c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 t="s">
        <v>52</v>
      </c>
      <c r="B78" s="2">
        <v>2057102000</v>
      </c>
      <c r="C78" s="2">
        <v>0.61</v>
      </c>
      <c r="D78" s="2">
        <v>2.1</v>
      </c>
      <c r="E78" s="2">
        <v>2.6351476620000001</v>
      </c>
      <c r="F78" s="2" t="s">
        <v>49</v>
      </c>
      <c r="G78" s="2" t="s">
        <v>51</v>
      </c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 t="s">
        <v>52</v>
      </c>
      <c r="B79" s="2">
        <v>2057102000</v>
      </c>
      <c r="C79" s="2">
        <v>0.61</v>
      </c>
      <c r="D79" s="2">
        <v>0.8</v>
      </c>
      <c r="E79" s="2">
        <v>1.003865776</v>
      </c>
      <c r="F79" s="2" t="s">
        <v>50</v>
      </c>
      <c r="G79" s="2" t="s">
        <v>51</v>
      </c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dongsl@ouc.edu.cn</dc:creator>
  <cp:lastModifiedBy>Shuangen Yu</cp:lastModifiedBy>
  <dcterms:created xsi:type="dcterms:W3CDTF">2023-10-17T01:22:26Z</dcterms:created>
  <dcterms:modified xsi:type="dcterms:W3CDTF">2024-12-26T07:41:55Z</dcterms:modified>
</cp:coreProperties>
</file>